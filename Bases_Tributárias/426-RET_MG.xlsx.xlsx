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827aad0f7931dd/Desktop/Sentinela/RET/"/>
    </mc:Choice>
  </mc:AlternateContent>
  <xr:revisionPtr revIDLastSave="7" documentId="8_{3D014EBF-01C5-4180-912F-EC71A1767E9A}" xr6:coauthVersionLast="47" xr6:coauthVersionMax="47" xr10:uidLastSave="{03D0B4DE-6C19-41C1-85CC-68DFCC3610F3}"/>
  <bookViews>
    <workbookView xWindow="-120" yWindow="-120" windowWidth="29040" windowHeight="15720" activeTab="2" xr2:uid="{CEF5D5F2-C70A-427A-8E66-1B1DEF4F7148}"/>
  </bookViews>
  <sheets>
    <sheet name="Mapa_RET" sheetId="1" r:id="rId1"/>
    <sheet name="Entradas_AC" sheetId="2" r:id="rId2"/>
    <sheet name="Apuração_IC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" l="1"/>
  <c r="N7" i="2"/>
  <c r="N8" i="2"/>
  <c r="K6" i="2"/>
  <c r="K7" i="2"/>
  <c r="K8" i="2"/>
  <c r="F39" i="2"/>
  <c r="G39" i="2"/>
  <c r="E73" i="3"/>
  <c r="E70" i="3"/>
  <c r="E65" i="3"/>
  <c r="E64" i="3"/>
  <c r="E61" i="3"/>
  <c r="E56" i="3" a="1"/>
  <c r="E49" i="3" a="1"/>
  <c r="E48" i="3" a="1"/>
  <c r="E47" i="3" a="1"/>
  <c r="E44" i="3" a="1"/>
  <c r="E40" i="3"/>
  <c r="F25" i="3"/>
  <c r="F31" i="3"/>
  <c r="F36" i="3"/>
  <c r="F26" i="3"/>
  <c r="F32" i="3"/>
  <c r="F27" i="3"/>
  <c r="F33" i="3"/>
  <c r="F28" i="3"/>
  <c r="F34" i="3"/>
  <c r="F29" i="3"/>
  <c r="F35" i="3"/>
  <c r="F30" i="3"/>
  <c r="F24" i="3"/>
  <c r="E25" i="3"/>
  <c r="E31" i="3"/>
  <c r="E26" i="3"/>
  <c r="E32" i="3"/>
  <c r="E27" i="3"/>
  <c r="E33" i="3"/>
  <c r="E28" i="3"/>
  <c r="E34" i="3"/>
  <c r="E29" i="3"/>
  <c r="E35" i="3"/>
  <c r="E30" i="3"/>
  <c r="E36" i="3"/>
  <c r="E24" i="3"/>
  <c r="D25" i="3"/>
  <c r="D31" i="3"/>
  <c r="D33" i="3"/>
  <c r="D26" i="3"/>
  <c r="D32" i="3"/>
  <c r="D27" i="3"/>
  <c r="D28" i="3"/>
  <c r="D34" i="3"/>
  <c r="D36" i="3"/>
  <c r="D29" i="3"/>
  <c r="D35" i="3"/>
  <c r="D30" i="3"/>
  <c r="D24" i="3"/>
  <c r="F5" i="3"/>
  <c r="F11" i="3"/>
  <c r="F10" i="3"/>
  <c r="F6" i="3"/>
  <c r="F12" i="3"/>
  <c r="F7" i="3"/>
  <c r="F13" i="3"/>
  <c r="F8" i="3"/>
  <c r="F14" i="3"/>
  <c r="F9" i="3"/>
  <c r="F4" i="3"/>
  <c r="E5" i="3"/>
  <c r="E11" i="3"/>
  <c r="E10" i="3"/>
  <c r="E6" i="3"/>
  <c r="E12" i="3"/>
  <c r="E13" i="3"/>
  <c r="E7" i="3"/>
  <c r="E8" i="3"/>
  <c r="E14" i="3"/>
  <c r="E9" i="3"/>
  <c r="E4" i="3"/>
  <c r="D5" i="3"/>
  <c r="D11" i="3"/>
  <c r="D6" i="3"/>
  <c r="D12" i="3"/>
  <c r="D7" i="3"/>
  <c r="D13" i="3"/>
  <c r="D8" i="3"/>
  <c r="D14" i="3"/>
  <c r="D9" i="3"/>
  <c r="D10" i="3"/>
  <c r="D4" i="3"/>
  <c r="C24" i="2"/>
  <c r="J25" i="2"/>
  <c r="I26" i="2"/>
  <c r="H27" i="2"/>
  <c r="E28" i="2"/>
  <c r="D29" i="2"/>
  <c r="C30" i="2"/>
  <c r="J31" i="2"/>
  <c r="I32" i="2"/>
  <c r="H33" i="2"/>
  <c r="E34" i="2"/>
  <c r="D35" i="2"/>
  <c r="C36" i="2"/>
  <c r="J37" i="2"/>
  <c r="I38" i="2"/>
  <c r="H26" i="2"/>
  <c r="H32" i="2"/>
  <c r="J36" i="2"/>
  <c r="D24" i="2"/>
  <c r="C25" i="2"/>
  <c r="J26" i="2"/>
  <c r="I27" i="2"/>
  <c r="H28" i="2"/>
  <c r="E29" i="2"/>
  <c r="D30" i="2"/>
  <c r="C31" i="2"/>
  <c r="J32" i="2"/>
  <c r="I33" i="2"/>
  <c r="H34" i="2"/>
  <c r="E35" i="2"/>
  <c r="D36" i="2"/>
  <c r="C37" i="2"/>
  <c r="J38" i="2"/>
  <c r="E24" i="2"/>
  <c r="D25" i="2"/>
  <c r="C26" i="2"/>
  <c r="J27" i="2"/>
  <c r="I28" i="2"/>
  <c r="H29" i="2"/>
  <c r="E30" i="2"/>
  <c r="D31" i="2"/>
  <c r="C32" i="2"/>
  <c r="J33" i="2"/>
  <c r="I34" i="2"/>
  <c r="H35" i="2"/>
  <c r="E36" i="2"/>
  <c r="D37" i="2"/>
  <c r="C38" i="2"/>
  <c r="H24" i="2"/>
  <c r="E25" i="2"/>
  <c r="D26" i="2"/>
  <c r="C27" i="2"/>
  <c r="J28" i="2"/>
  <c r="I29" i="2"/>
  <c r="H30" i="2"/>
  <c r="E31" i="2"/>
  <c r="D32" i="2"/>
  <c r="C33" i="2"/>
  <c r="J34" i="2"/>
  <c r="I35" i="2"/>
  <c r="H36" i="2"/>
  <c r="E37" i="2"/>
  <c r="D38" i="2"/>
  <c r="I25" i="2"/>
  <c r="D28" i="2"/>
  <c r="C29" i="2"/>
  <c r="I31" i="2"/>
  <c r="D34" i="2"/>
  <c r="C35" i="2"/>
  <c r="I37" i="2"/>
  <c r="H38" i="2"/>
  <c r="I24" i="2"/>
  <c r="H25" i="2"/>
  <c r="E26" i="2"/>
  <c r="D27" i="2"/>
  <c r="C28" i="2"/>
  <c r="J29" i="2"/>
  <c r="I30" i="2"/>
  <c r="H31" i="2"/>
  <c r="E32" i="2"/>
  <c r="D33" i="2"/>
  <c r="C34" i="2"/>
  <c r="J35" i="2"/>
  <c r="I36" i="2"/>
  <c r="H37" i="2"/>
  <c r="E38" i="2"/>
  <c r="J24" i="2"/>
  <c r="E27" i="2"/>
  <c r="J30" i="2"/>
  <c r="E33" i="2"/>
  <c r="C4" i="2"/>
  <c r="C10" i="2"/>
  <c r="C16" i="2"/>
  <c r="C22" i="2"/>
  <c r="C11" i="2"/>
  <c r="C17" i="2"/>
  <c r="C23" i="2"/>
  <c r="C12" i="2"/>
  <c r="C18" i="2"/>
  <c r="C21" i="2"/>
  <c r="C5" i="2"/>
  <c r="C13" i="2"/>
  <c r="C19" i="2"/>
  <c r="C14" i="2"/>
  <c r="C20" i="2"/>
  <c r="C9" i="2"/>
  <c r="C15" i="2"/>
  <c r="D4" i="2"/>
  <c r="D10" i="2"/>
  <c r="D16" i="2"/>
  <c r="D22" i="2"/>
  <c r="D20" i="2"/>
  <c r="D5" i="2"/>
  <c r="D11" i="2"/>
  <c r="D17" i="2"/>
  <c r="D23" i="2"/>
  <c r="D9" i="2"/>
  <c r="D12" i="2"/>
  <c r="D18" i="2"/>
  <c r="D14" i="2"/>
  <c r="D21" i="2"/>
  <c r="D13" i="2"/>
  <c r="D19" i="2"/>
  <c r="D15" i="2"/>
  <c r="E4" i="2"/>
  <c r="E10" i="2"/>
  <c r="E16" i="2"/>
  <c r="E22" i="2"/>
  <c r="E5" i="2"/>
  <c r="E11" i="2"/>
  <c r="E17" i="2"/>
  <c r="E23" i="2"/>
  <c r="E12" i="2"/>
  <c r="E18" i="2"/>
  <c r="E21" i="2"/>
  <c r="E13" i="2"/>
  <c r="E19" i="2"/>
  <c r="E15" i="2"/>
  <c r="E14" i="2"/>
  <c r="E20" i="2"/>
  <c r="E9" i="2"/>
  <c r="H4" i="2"/>
  <c r="H10" i="2"/>
  <c r="H16" i="2"/>
  <c r="H22" i="2"/>
  <c r="H5" i="2"/>
  <c r="H11" i="2"/>
  <c r="H17" i="2"/>
  <c r="H23" i="2"/>
  <c r="H12" i="2"/>
  <c r="H18" i="2"/>
  <c r="H21" i="2"/>
  <c r="H13" i="2"/>
  <c r="H19" i="2"/>
  <c r="H15" i="2"/>
  <c r="H14" i="2"/>
  <c r="H20" i="2"/>
  <c r="H9" i="2"/>
  <c r="I12" i="2"/>
  <c r="I18" i="2"/>
  <c r="I14" i="2"/>
  <c r="I20" i="2"/>
  <c r="I9" i="2"/>
  <c r="I21" i="2"/>
  <c r="I10" i="2"/>
  <c r="I16" i="2"/>
  <c r="I5" i="2"/>
  <c r="I17" i="2"/>
  <c r="I13" i="2"/>
  <c r="I19" i="2"/>
  <c r="I15" i="2"/>
  <c r="I4" i="2"/>
  <c r="I22" i="2"/>
  <c r="I11" i="2"/>
  <c r="I23" i="2"/>
  <c r="J14" i="2"/>
  <c r="J20" i="2"/>
  <c r="J9" i="2"/>
  <c r="J15" i="2"/>
  <c r="J21" i="2"/>
  <c r="J4" i="2"/>
  <c r="J10" i="2"/>
  <c r="J16" i="2"/>
  <c r="J22" i="2"/>
  <c r="J5" i="2"/>
  <c r="J11" i="2"/>
  <c r="J17" i="2"/>
  <c r="J23" i="2"/>
  <c r="J12" i="2"/>
  <c r="J18" i="2"/>
  <c r="J13" i="2"/>
  <c r="J19" i="2"/>
  <c r="J3" i="2"/>
  <c r="I3" i="2"/>
  <c r="H3" i="2"/>
  <c r="E3" i="2"/>
  <c r="D3" i="2"/>
  <c r="C3" i="2"/>
  <c r="E76" i="3" l="1"/>
  <c r="E67" i="3"/>
  <c r="E56" i="3"/>
  <c r="E49" i="3"/>
  <c r="E48" i="3"/>
  <c r="E47" i="3"/>
  <c r="E44" i="3"/>
  <c r="I30" i="3"/>
  <c r="I35" i="3"/>
  <c r="I29" i="3"/>
  <c r="I34" i="3"/>
  <c r="I28" i="3"/>
  <c r="I33" i="3"/>
  <c r="I27" i="3"/>
  <c r="I32" i="3"/>
  <c r="I26" i="3"/>
  <c r="I36" i="3"/>
  <c r="I31" i="3"/>
  <c r="I25" i="3"/>
  <c r="F37" i="3"/>
  <c r="E37" i="3"/>
  <c r="D37" i="3"/>
  <c r="F2" i="3"/>
  <c r="I10" i="3"/>
  <c r="H10" i="3" s="1"/>
  <c r="I9" i="3"/>
  <c r="H9" i="3" s="1"/>
  <c r="I8" i="3"/>
  <c r="H8" i="3" s="1"/>
  <c r="I13" i="3"/>
  <c r="H13" i="3" s="1"/>
  <c r="I7" i="3"/>
  <c r="H7" i="3" s="1"/>
  <c r="I12" i="3"/>
  <c r="H12" i="3" s="1"/>
  <c r="I6" i="3"/>
  <c r="H6" i="3" s="1"/>
  <c r="I14" i="3"/>
  <c r="H14" i="3" s="1"/>
  <c r="I11" i="3"/>
  <c r="H11" i="3" s="1"/>
  <c r="I5" i="3"/>
  <c r="H5" i="3" s="1"/>
  <c r="K6" i="3"/>
  <c r="I4" i="3"/>
  <c r="L6" i="3" s="1"/>
  <c r="L9" i="3" s="1"/>
  <c r="D21" i="3"/>
  <c r="K13" i="3" s="1"/>
  <c r="K29" i="2"/>
  <c r="N29" i="2" s="1"/>
  <c r="K3" i="2"/>
  <c r="N3" i="2" s="1"/>
  <c r="K9" i="2"/>
  <c r="N9" i="2" s="1"/>
  <c r="K20" i="2"/>
  <c r="N20" i="2" s="1"/>
  <c r="K14" i="2"/>
  <c r="N14" i="2" s="1"/>
  <c r="K15" i="2"/>
  <c r="N15" i="2" s="1"/>
  <c r="K19" i="2"/>
  <c r="N19" i="2" s="1"/>
  <c r="K13" i="2"/>
  <c r="N13" i="2" s="1"/>
  <c r="K21" i="2"/>
  <c r="N21" i="2" s="1"/>
  <c r="K18" i="2"/>
  <c r="N18" i="2" s="1"/>
  <c r="K12" i="2"/>
  <c r="N12" i="2" s="1"/>
  <c r="K23" i="2"/>
  <c r="N23" i="2" s="1"/>
  <c r="K17" i="2"/>
  <c r="N17" i="2" s="1"/>
  <c r="K11" i="2"/>
  <c r="N11" i="2" s="1"/>
  <c r="K5" i="2"/>
  <c r="N5" i="2" s="1"/>
  <c r="K22" i="2"/>
  <c r="N22" i="2" s="1"/>
  <c r="K16" i="2"/>
  <c r="N16" i="2" s="1"/>
  <c r="K10" i="2"/>
  <c r="N10" i="2" s="1"/>
  <c r="K4" i="2"/>
  <c r="N4" i="2" s="1"/>
  <c r="K33" i="2"/>
  <c r="N33" i="2" s="1"/>
  <c r="K27" i="2"/>
  <c r="N27" i="2" s="1"/>
  <c r="K38" i="2"/>
  <c r="N38" i="2" s="1"/>
  <c r="K32" i="2"/>
  <c r="N32" i="2" s="1"/>
  <c r="K26" i="2"/>
  <c r="N26" i="2" s="1"/>
  <c r="K37" i="2"/>
  <c r="N37" i="2" s="1"/>
  <c r="K31" i="2"/>
  <c r="N31" i="2" s="1"/>
  <c r="K25" i="2"/>
  <c r="N25" i="2" s="1"/>
  <c r="K36" i="2"/>
  <c r="N36" i="2" s="1"/>
  <c r="K30" i="2"/>
  <c r="N30" i="2" s="1"/>
  <c r="K24" i="2"/>
  <c r="N24" i="2" s="1"/>
  <c r="K35" i="2"/>
  <c r="N35" i="2" s="1"/>
  <c r="K34" i="2"/>
  <c r="N34" i="2" s="1"/>
  <c r="K28" i="2"/>
  <c r="N28" i="2" s="1"/>
  <c r="J39" i="2"/>
  <c r="I39" i="2"/>
  <c r="H39" i="2"/>
  <c r="E39" i="2"/>
  <c r="D39" i="2"/>
  <c r="C39" i="2"/>
  <c r="E21" i="3"/>
  <c r="F21" i="3"/>
  <c r="I24" i="3"/>
  <c r="I37" i="3" s="1"/>
  <c r="D2" i="3"/>
  <c r="E2" i="3"/>
  <c r="L13" i="3"/>
  <c r="K7" i="3"/>
  <c r="E42" i="3" l="1"/>
  <c r="E55" i="3"/>
  <c r="E58" i="3" s="1"/>
  <c r="I2" i="3"/>
  <c r="L7" i="3"/>
  <c r="K9" i="3"/>
  <c r="I21" i="3"/>
  <c r="H4" i="3"/>
  <c r="H21" i="3" s="1"/>
  <c r="E57" i="3" s="1"/>
  <c r="M13" i="3"/>
  <c r="K39" i="2"/>
  <c r="N39" i="2"/>
  <c r="E52" i="3"/>
  <c r="H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<sst xmlns="http://schemas.openxmlformats.org/spreadsheetml/2006/main" count="197" uniqueCount="145">
  <si>
    <t>COD_RET</t>
  </si>
  <si>
    <t>B1</t>
  </si>
  <si>
    <t>0.03</t>
  </si>
  <si>
    <t>B2</t>
  </si>
  <si>
    <t>0.06</t>
  </si>
  <si>
    <t>C1</t>
  </si>
  <si>
    <t>0.015</t>
  </si>
  <si>
    <t>5077, 5078, 5079, 5080, 5083</t>
  </si>
  <si>
    <t>NCMs_VINCULADOS</t>
  </si>
  <si>
    <t>33049100, 33049990, 33051000, 33059000, 34011190, 34013000, 33062000, 33072090, 38089199, 38089429, 56012110, 56012190, 96190000</t>
  </si>
  <si>
    <t>CONDIÇÃO</t>
  </si>
  <si>
    <t>Rec. Efetivo</t>
  </si>
  <si>
    <t>ACUMULADORES</t>
  </si>
  <si>
    <t>3% de recolhimento efetivo nas operações de vendas internas e interestaduais, destinadas a contribuinte do imposto;</t>
  </si>
  <si>
    <t>6% de recolhimento efetivo nas vendas internas destinadas a pessoa jurídica não contribuinte do imposto, quando sujeitas a alíquota igual ou superior a 18%</t>
  </si>
  <si>
    <t>1,5% do valor da base de cálculo nas operações interestaduais sujeitas à alíquota de 4% (destinadas a PJ, contribuinte ou não do imposto)</t>
  </si>
  <si>
    <t>Código</t>
  </si>
  <si>
    <t>Descrição</t>
  </si>
  <si>
    <t>Vlr Contábil</t>
  </si>
  <si>
    <t>Base ICMS</t>
  </si>
  <si>
    <t>Vlr ICMS</t>
  </si>
  <si>
    <t>Isentas ICMS</t>
  </si>
  <si>
    <t>Outras ICMS</t>
  </si>
  <si>
    <t>Vlr IPI</t>
  </si>
  <si>
    <t>BC ICMS ST</t>
  </si>
  <si>
    <t>Vlr ICMS ST</t>
  </si>
  <si>
    <t xml:space="preserve">Estorno </t>
  </si>
  <si>
    <t>Observação</t>
  </si>
  <si>
    <t>Check</t>
  </si>
  <si>
    <t>ESTORNO DEV</t>
  </si>
  <si>
    <t>102</t>
  </si>
  <si>
    <t>MERCADORIA P REVENDA</t>
  </si>
  <si>
    <t>SEM FORMULA (FORA DO RET)</t>
  </si>
  <si>
    <t>120</t>
  </si>
  <si>
    <t>DEVOLUÇÃO VENDA</t>
  </si>
  <si>
    <t>60</t>
  </si>
  <si>
    <t>NF COMPLEMENTAR DO ICMS</t>
  </si>
  <si>
    <t>FRETE S/ VENDAS</t>
  </si>
  <si>
    <t>ESTORNA TUDO</t>
  </si>
  <si>
    <t>FRETE S/ VENDAS (FORA)</t>
  </si>
  <si>
    <t>IMPORTAÇÃO P/ INDUSTRIALIZAÇÃO</t>
  </si>
  <si>
    <t>IMPORTAÇÃO P/ COMERCIALIZAÇÃO</t>
  </si>
  <si>
    <t>COMPRA DE MERCADORIA / ST REVENDA (FORA)</t>
  </si>
  <si>
    <t>ENTRADA DE INDUST. TERCEIRO (FORA ESTADO)</t>
  </si>
  <si>
    <t>COMPRA ATIVO (MÁQ. E EQUIP) - FORA</t>
  </si>
  <si>
    <t>COMPRA ATIVO (INSTALAÇOES) - FORA</t>
  </si>
  <si>
    <t>COMPRA ATIVO (COMP. E PERI.) - FORA</t>
  </si>
  <si>
    <t>ENTRADA P/ INDUSTRIALIZAÇÃO</t>
  </si>
  <si>
    <t>ENTRADA EM RETORNO INDUSTRIALIZAÇÃO</t>
  </si>
  <si>
    <t>ENTRADA EM COMODATO</t>
  </si>
  <si>
    <t>321</t>
  </si>
  <si>
    <t>ENTRADA EM RETORNO DE VASILHAME</t>
  </si>
  <si>
    <t>ENTRADA P/ INDUSTRIALIZ (CONTA E ORDEM)</t>
  </si>
  <si>
    <t>OUTRAS ENTRADAS</t>
  </si>
  <si>
    <t>ENTRADA EM TRANFERENCIA USO E CONSUMO</t>
  </si>
  <si>
    <t>DEVOLUÇÃO DE VENDA (ST)</t>
  </si>
  <si>
    <t>DEVOLUÇÃO VENDA - RET</t>
  </si>
  <si>
    <t>3%</t>
  </si>
  <si>
    <t>DEVOLUÇÃO DE VENDA (ST) - RET</t>
  </si>
  <si>
    <t>ENTRADA EM TRANFERENCIA P/ COMERCIALIZAÇÃO</t>
  </si>
  <si>
    <t>ENTRADA EM TRANSFERENCIA DE ATIVO</t>
  </si>
  <si>
    <t>ENTRADA EM TRANFERENCIA P/ COMERCIALIZAÇÃO (RET)</t>
  </si>
  <si>
    <t>DEVOLUÇÃO DE REVENDA (ST) - RET</t>
  </si>
  <si>
    <t>1561</t>
  </si>
  <si>
    <t>DESPESA C/ MAT. DE LIMPEZA</t>
  </si>
  <si>
    <t>1201</t>
  </si>
  <si>
    <t>1562</t>
  </si>
  <si>
    <t>DESPESA C/ COPA, COZINHA E REFEITORIO</t>
  </si>
  <si>
    <t>DESPESA C/ MAT.CONSUMO/INTERM/SECUNDÁRIO</t>
  </si>
  <si>
    <t>1565</t>
  </si>
  <si>
    <t>DESPESA COM VEÍCULO</t>
  </si>
  <si>
    <t>1568</t>
  </si>
  <si>
    <t>DESPESA C/ MANUT. DE BENS E INST.</t>
  </si>
  <si>
    <t>DESPESA C/ MATERIAL ESCRITÓRIO (FORA)</t>
  </si>
  <si>
    <t>DESPESA C/ MAT.CONSUMO (FORA)</t>
  </si>
  <si>
    <t>DESPESA C/ MANUT. DE BENS E INST. (FORA)</t>
  </si>
  <si>
    <t>Total</t>
  </si>
  <si>
    <t>HIGIETOP</t>
  </si>
  <si>
    <t>OPERAÇÕES INCENTIVADAS - PTA nº  45.000036597-04</t>
  </si>
  <si>
    <t>ACUMULADOR</t>
  </si>
  <si>
    <t>DESCRIÇÃO</t>
  </si>
  <si>
    <t>VLR_OPERACAO</t>
  </si>
  <si>
    <t>BC ICMS</t>
  </si>
  <si>
    <t>Débitos ICMS</t>
  </si>
  <si>
    <t>% Rec Efetivo:</t>
  </si>
  <si>
    <t>Crédito PTA</t>
  </si>
  <si>
    <t>ICMS RET</t>
  </si>
  <si>
    <t>TRANSFERENCIA IMPORTADOS - INTERESTADUAL  (4%)</t>
  </si>
  <si>
    <t>REVENDA NAC - INTERNA - NÃO CONTRIB(18%)</t>
  </si>
  <si>
    <t>REVENDA NAC - INTERNA - NÃO CONTRIB(25%)</t>
  </si>
  <si>
    <t>REVENDA NAC - INTERNA - NÃO CONTRIB(12%)</t>
  </si>
  <si>
    <t>REVENDA NAC - INTERNA - CONTRIB (12%)</t>
  </si>
  <si>
    <t>REVENDA NAC - INTERESTADUAL - C/ ST</t>
  </si>
  <si>
    <t xml:space="preserve">REVENDA NAC - INTERESTADUAL - CONTRIBUINTE  </t>
  </si>
  <si>
    <t>REVENDA NAC - INTERESTADUAL - NÃO CONTRIBUINTE</t>
  </si>
  <si>
    <t>VENDA NAC - INTERNA - NÃO CONTRIBUINTE C/ ST</t>
  </si>
  <si>
    <t>Valor Operação</t>
  </si>
  <si>
    <t xml:space="preserve">Transferências </t>
  </si>
  <si>
    <t xml:space="preserve">% </t>
  </si>
  <si>
    <t>VENDA NAC - INTERNA - CONTRIBUINTE C/ ST</t>
  </si>
  <si>
    <t>REVENDA NAC - INTERNA - C/ ST</t>
  </si>
  <si>
    <t>TOTAL</t>
  </si>
  <si>
    <t>OPERAÇÕES NÃO INCENTIVADAS</t>
  </si>
  <si>
    <t>ICMS NORMAL</t>
  </si>
  <si>
    <t>COMPLEMENTAR</t>
  </si>
  <si>
    <t>REVENDA DE MERCADORIAS (A PRAZO)</t>
  </si>
  <si>
    <t>REVENDA CONTA E ORDEM S/ TRANS</t>
  </si>
  <si>
    <t>REVENDA DE MERCADORIAS (ST)</t>
  </si>
  <si>
    <t>REVENDA ZFM / ALC (A PRAZO)</t>
  </si>
  <si>
    <t>TRANSFERÊNCIA DE MERCADORIA</t>
  </si>
  <si>
    <t>SAIDA DE BRINDE</t>
  </si>
  <si>
    <t>AMOSTRA GRATIS</t>
  </si>
  <si>
    <t>RETORNO CONSERTO</t>
  </si>
  <si>
    <t>SAIDA EM REMESSA VASILHAME</t>
  </si>
  <si>
    <t>VENDA PARA ZONA FRANCA CAMEX</t>
  </si>
  <si>
    <t>REV NACIONAL INTERNA ZONA FRANCA</t>
  </si>
  <si>
    <t>REMESSA PARA INDUSTRIALIZAÇÃO FORA RET</t>
  </si>
  <si>
    <t>APURAÇÃO NORMAL</t>
  </si>
  <si>
    <t>(1) TOTAL DE DÉBITOS NA APURAÇÃO NORMAL</t>
  </si>
  <si>
    <t>(2) OUTROS DÉBITOS</t>
  </si>
  <si>
    <t>(3) ESTORNO DE DÉBITOS REL. OP. INCENTIVADAS</t>
  </si>
  <si>
    <t>(4) ESTORNO DE DÉBITOS - OUTRAS SITUAÇÕES</t>
  </si>
  <si>
    <t>(5) CRÉDITOS APROPRIADOS NA ESCRITURAÇÃO</t>
  </si>
  <si>
    <t>(6) SALDO CREDOR ANTERIOR</t>
  </si>
  <si>
    <t>(7) OUTROS CRÉDITOS (NÃO APROP. PERIODOS ANT)</t>
  </si>
  <si>
    <t>(8) ESTORNO DE CREDITO OP INCENTIVADAS</t>
  </si>
  <si>
    <t>(9) ESTORNO DE CREDITO</t>
  </si>
  <si>
    <t>(10) ESTORNO CRÉDITO DE DEV. COM CRÉD. PRESUMIDO</t>
  </si>
  <si>
    <t>(11) ESTORNO REF. DEVOLUÇÃO DE MERCADORAI COM CRÉDITO PRESUMIDO</t>
  </si>
  <si>
    <t>(12) OUTROS CRÉDITOS</t>
  </si>
  <si>
    <t>ICMS NORMAL 0120-6</t>
  </si>
  <si>
    <t>APURAÇÃO RET</t>
  </si>
  <si>
    <t>(1) TOTAL DE DÉBITOS NA SUB-APURAÇÃO</t>
  </si>
  <si>
    <t>CREDITOS POR ENTRADAS</t>
  </si>
  <si>
    <t>(2) CREDITO PRESUMIDO GERADO NAS OPERAÇÕES INCENTIVADAS</t>
  </si>
  <si>
    <t>ICMS RET 0218-8</t>
  </si>
  <si>
    <t>APURAÇÃO ICMS-ST MG</t>
  </si>
  <si>
    <t>(1) TOTAL DE DÉBITOS PELAS SAÍDAS</t>
  </si>
  <si>
    <t>(2)OUTROS DÉBITOS</t>
  </si>
  <si>
    <t>(3) OUTROS DE DÉBITOS</t>
  </si>
  <si>
    <t>(4) CRÉDITOS POR DEVOLUÇÃO</t>
  </si>
  <si>
    <t xml:space="preserve">(5) OUTROS CRÉDITOS </t>
  </si>
  <si>
    <t>(6) ESTORNO DE DÉBITOS</t>
  </si>
  <si>
    <t>ICMS ST MG</t>
  </si>
  <si>
    <t>APURAÇÃO ICMS-ST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</si>
</sst>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  <numFmt numFmtId="166" formatCode="#,##0.00_ ;[Red]\-#,##0.00\ "/>
    <numFmt numFmtId="167" formatCode="#,##0.00;[Red]\(#,##0.00\)"/>
    <numFmt numFmtId="168" formatCode="#,##0.00;[Red]#,##0.00"/>
  </numFmts>
  <fonts count="1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64"/>
      <name val="Tahoma"/>
      <family val="2"/>
    </font>
    <font>
      <sz val="8"/>
      <color indexed="64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3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vertical="top"/>
    </xf>
    <xf numFmtId="4" fontId="7" fillId="0" borderId="0" xfId="0" applyNumberFormat="1" applyFont="1" applyAlignment="1">
      <alignment vertical="top"/>
    </xf>
    <xf numFmtId="43" fontId="7" fillId="0" borderId="0" xfId="1" applyFont="1" applyAlignment="1">
      <alignment horizontal="center" vertical="center"/>
    </xf>
    <xf numFmtId="9" fontId="7" fillId="0" borderId="0" xfId="3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/>
    <xf numFmtId="164" fontId="7" fillId="0" borderId="0" xfId="3" applyNumberFormat="1" applyFont="1" applyAlignment="1">
      <alignment horizontal="center" vertical="top"/>
    </xf>
    <xf numFmtId="0" fontId="4" fillId="0" borderId="0" xfId="0" applyFont="1"/>
    <xf numFmtId="4" fontId="7" fillId="0" borderId="0" xfId="0" applyNumberFormat="1" applyFont="1" applyAlignment="1">
      <alignment horizontal="right" vertical="top"/>
    </xf>
    <xf numFmtId="9" fontId="7" fillId="0" borderId="0" xfId="3" applyFont="1" applyFill="1" applyAlignment="1">
      <alignment horizontal="center" vertical="top"/>
    </xf>
    <xf numFmtId="0" fontId="7" fillId="0" borderId="0" xfId="0" applyFont="1" applyAlignment="1">
      <alignment vertical="top" wrapText="1"/>
    </xf>
    <xf numFmtId="4" fontId="7" fillId="3" borderId="0" xfId="0" applyNumberFormat="1" applyFont="1" applyFill="1" applyAlignment="1">
      <alignment horizontal="right" vertical="top"/>
    </xf>
    <xf numFmtId="43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top"/>
    </xf>
    <xf numFmtId="4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43" fontId="0" fillId="0" borderId="0" xfId="0" applyNumberFormat="1"/>
    <xf numFmtId="4" fontId="0" fillId="0" borderId="0" xfId="0" applyNumberFormat="1"/>
    <xf numFmtId="43" fontId="7" fillId="4" borderId="0" xfId="1" applyFont="1" applyFill="1" applyAlignment="1">
      <alignment horizontal="center" vertical="center"/>
    </xf>
    <xf numFmtId="4" fontId="7" fillId="4" borderId="0" xfId="0" applyNumberFormat="1" applyFont="1" applyFill="1" applyAlignment="1">
      <alignment vertical="top"/>
    </xf>
    <xf numFmtId="0" fontId="7" fillId="5" borderId="0" xfId="0" applyFont="1" applyFill="1" applyAlignment="1">
      <alignment horizontal="left" vertical="top"/>
    </xf>
    <xf numFmtId="49" fontId="7" fillId="5" borderId="0" xfId="0" applyNumberFormat="1" applyFont="1" applyFill="1" applyAlignment="1">
      <alignment vertical="top"/>
    </xf>
    <xf numFmtId="43" fontId="7" fillId="5" borderId="0" xfId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top"/>
    </xf>
    <xf numFmtId="4" fontId="7" fillId="5" borderId="0" xfId="0" applyNumberFormat="1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/>
    <xf numFmtId="165" fontId="0" fillId="0" borderId="0" xfId="0" applyNumberFormat="1"/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0" fontId="0" fillId="0" borderId="0" xfId="0" applyNumberFormat="1"/>
    <xf numFmtId="9" fontId="8" fillId="0" borderId="0" xfId="0" applyNumberFormat="1" applyFont="1"/>
    <xf numFmtId="0" fontId="10" fillId="7" borderId="2" xfId="0" applyFont="1" applyFill="1" applyBorder="1"/>
    <xf numFmtId="0" fontId="10" fillId="7" borderId="2" xfId="0" applyFont="1" applyFill="1" applyBorder="1" applyAlignment="1">
      <alignment horizontal="center"/>
    </xf>
    <xf numFmtId="4" fontId="8" fillId="7" borderId="2" xfId="0" applyNumberFormat="1" applyFont="1" applyFill="1" applyBorder="1" applyAlignment="1">
      <alignment horizontal="center" vertical="top"/>
    </xf>
    <xf numFmtId="10" fontId="8" fillId="7" borderId="2" xfId="0" applyNumberFormat="1" applyFont="1" applyFill="1" applyBorder="1" applyAlignment="1">
      <alignment horizontal="center"/>
    </xf>
    <xf numFmtId="43" fontId="8" fillId="7" borderId="2" xfId="0" applyNumberFormat="1" applyFont="1" applyFill="1" applyBorder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9" fontId="8" fillId="7" borderId="2" xfId="0" applyNumberFormat="1" applyFont="1" applyFill="1" applyBorder="1" applyAlignment="1">
      <alignment horizontal="center"/>
    </xf>
    <xf numFmtId="44" fontId="8" fillId="7" borderId="2" xfId="2" applyFont="1" applyFill="1" applyBorder="1" applyAlignment="1">
      <alignment horizontal="center"/>
    </xf>
    <xf numFmtId="44" fontId="5" fillId="6" borderId="0" xfId="2" applyFont="1" applyFill="1" applyAlignment="1">
      <alignment horizontal="center"/>
    </xf>
    <xf numFmtId="43" fontId="8" fillId="0" borderId="0" xfId="0" applyNumberFormat="1" applyFont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44" fontId="8" fillId="0" borderId="13" xfId="2" applyFont="1" applyBorder="1" applyAlignment="1">
      <alignment horizontal="center"/>
    </xf>
    <xf numFmtId="44" fontId="8" fillId="0" borderId="14" xfId="4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43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4" fontId="8" fillId="0" borderId="2" xfId="0" applyNumberFormat="1" applyFont="1" applyBorder="1" applyAlignment="1">
      <alignment horizontal="center" vertical="top"/>
    </xf>
    <xf numFmtId="10" fontId="8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4" fontId="9" fillId="0" borderId="2" xfId="0" applyNumberFormat="1" applyFont="1" applyBorder="1" applyAlignment="1">
      <alignment horizontal="right" vertical="top"/>
    </xf>
    <xf numFmtId="9" fontId="0" fillId="0" borderId="0" xfId="0" applyNumberFormat="1"/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5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4" fontId="8" fillId="0" borderId="2" xfId="0" applyNumberFormat="1" applyFont="1" applyBorder="1" applyAlignment="1">
      <alignment horizontal="right" vertical="top"/>
    </xf>
    <xf numFmtId="43" fontId="0" fillId="0" borderId="2" xfId="0" applyNumberFormat="1" applyBorder="1"/>
    <xf numFmtId="10" fontId="0" fillId="0" borderId="2" xfId="0" applyNumberFormat="1" applyBorder="1"/>
    <xf numFmtId="0" fontId="8" fillId="0" borderId="2" xfId="0" applyFont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0" fillId="8" borderId="2" xfId="0" applyFill="1" applyBorder="1"/>
    <xf numFmtId="43" fontId="9" fillId="8" borderId="2" xfId="0" applyNumberFormat="1" applyFont="1" applyFill="1" applyBorder="1"/>
    <xf numFmtId="43" fontId="5" fillId="8" borderId="2" xfId="0" applyNumberFormat="1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166" fontId="0" fillId="0" borderId="0" xfId="2" applyNumberFormat="1" applyFont="1" applyFill="1"/>
    <xf numFmtId="167" fontId="0" fillId="0" borderId="0" xfId="0" applyNumberFormat="1"/>
    <xf numFmtId="166" fontId="0" fillId="0" borderId="0" xfId="2" applyNumberFormat="1" applyFont="1"/>
    <xf numFmtId="168" fontId="0" fillId="0" borderId="0" xfId="0" applyNumberFormat="1"/>
    <xf numFmtId="0" fontId="0" fillId="0" borderId="16" xfId="0" applyBorder="1"/>
    <xf numFmtId="0" fontId="0" fillId="0" borderId="16" xfId="0" applyBorder="1" applyAlignment="1">
      <alignment horizontal="center"/>
    </xf>
    <xf numFmtId="166" fontId="0" fillId="0" borderId="16" xfId="2" applyNumberFormat="1" applyFont="1" applyBorder="1"/>
    <xf numFmtId="166" fontId="9" fillId="2" borderId="0" xfId="2" applyNumberFormat="1" applyFont="1" applyFill="1"/>
    <xf numFmtId="43" fontId="9" fillId="0" borderId="0" xfId="0" applyNumberFormat="1" applyFont="1"/>
    <xf numFmtId="43" fontId="5" fillId="0" borderId="0" xfId="0" applyNumberFormat="1" applyFont="1"/>
    <xf numFmtId="10" fontId="0" fillId="0" borderId="0" xfId="3" applyNumberFormat="1" applyFont="1"/>
    <xf numFmtId="166" fontId="5" fillId="2" borderId="0" xfId="2" applyNumberFormat="1" applyFont="1" applyFill="1"/>
    <xf numFmtId="0" fontId="12" fillId="0" borderId="0" xfId="0" applyFont="1" applyAlignment="1">
      <alignment horizontal="center"/>
    </xf>
    <xf numFmtId="0" fontId="10" fillId="0" borderId="0" xfId="0" applyFont="1"/>
    <xf numFmtId="166" fontId="10" fillId="0" borderId="0" xfId="2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9" borderId="2" xfId="0" applyFont="1" applyFill="1" applyBorder="1"/>
    <xf numFmtId="0" fontId="10" fillId="9" borderId="2" xfId="0" applyFont="1" applyFill="1" applyBorder="1" applyAlignment="1">
      <alignment horizontal="center"/>
    </xf>
    <xf numFmtId="4" fontId="8" fillId="9" borderId="9" xfId="0" applyNumberFormat="1" applyFont="1" applyFill="1" applyBorder="1" applyAlignment="1">
      <alignment horizontal="center" vertical="top"/>
    </xf>
    <xf numFmtId="10" fontId="8" fillId="9" borderId="9" xfId="0" applyNumberFormat="1" applyFont="1" applyFill="1" applyBorder="1" applyAlignment="1">
      <alignment horizontal="center"/>
    </xf>
    <xf numFmtId="43" fontId="8" fillId="9" borderId="9" xfId="0" applyNumberFormat="1" applyFont="1" applyFill="1" applyBorder="1" applyAlignment="1">
      <alignment horizontal="center"/>
    </xf>
    <xf numFmtId="10" fontId="8" fillId="9" borderId="2" xfId="0" applyNumberFormat="1" applyFont="1" applyFill="1" applyBorder="1" applyAlignment="1">
      <alignment horizontal="center"/>
    </xf>
    <xf numFmtId="44" fontId="8" fillId="9" borderId="2" xfId="2" applyFont="1" applyFill="1" applyBorder="1" applyAlignment="1">
      <alignment horizontal="center"/>
    </xf>
    <xf numFmtId="0" fontId="10" fillId="10" borderId="2" xfId="0" applyFont="1" applyFill="1" applyBorder="1"/>
    <xf numFmtId="0" fontId="10" fillId="10" borderId="2" xfId="0" applyFont="1" applyFill="1" applyBorder="1" applyAlignment="1">
      <alignment horizontal="center"/>
    </xf>
    <xf numFmtId="4" fontId="8" fillId="10" borderId="2" xfId="0" applyNumberFormat="1" applyFont="1" applyFill="1" applyBorder="1" applyAlignment="1">
      <alignment horizontal="center" vertical="top"/>
    </xf>
    <xf numFmtId="10" fontId="8" fillId="10" borderId="2" xfId="0" applyNumberFormat="1" applyFont="1" applyFill="1" applyBorder="1" applyAlignment="1">
      <alignment horizontal="center"/>
    </xf>
    <xf numFmtId="43" fontId="8" fillId="10" borderId="2" xfId="0" applyNumberFormat="1" applyFont="1" applyFill="1" applyBorder="1" applyAlignment="1">
      <alignment horizontal="center"/>
    </xf>
    <xf numFmtId="9" fontId="8" fillId="10" borderId="2" xfId="0" applyNumberFormat="1" applyFont="1" applyFill="1" applyBorder="1" applyAlignment="1">
      <alignment horizontal="center"/>
    </xf>
    <xf numFmtId="44" fontId="8" fillId="10" borderId="2" xfId="2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 readingOrder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49" fontId="6" fillId="2" borderId="0" xfId="0" applyNumberFormat="1" applyFont="1" applyFill="1" applyAlignment="1">
      <alignment horizontal="center" vertical="top"/>
    </xf>
    <xf numFmtId="49" fontId="6" fillId="0" borderId="0" xfId="0" applyNumberFormat="1" applyFont="1" applyAlignment="1">
      <alignment horizontal="center" vertical="top" wrapText="1"/>
    </xf>
  </cellXfs>
  <cellStyles count="5">
    <cellStyle name="Moeda" xfId="2" builtinId="4"/>
    <cellStyle name="Moeda 6" xfId="4" xr:uid="{E8D57EFA-5EA3-404E-895A-E838E8D1C42C}"/>
    <cellStyle name="Normal" xfId="0" builtinId="0"/>
    <cellStyle name="Porcentagem" xfId="3" builtinId="5"/>
    <cellStyle name="Vírgula" xfId="1" builtinId="3"/>
  </cellStyles>
  <dxfs count="29">
    <dxf>
      <numFmt numFmtId="4" formatCode="#,##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64"/>
        <name val="Tahoma"/>
        <scheme val="none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69F58-E632-4D3B-92FD-5BECFF21C3A4}" name="EntradasAC" displayName="EntradasAC" ref="A2:N39" totalsRowCount="1" headerRowDxfId="28" dataDxfId="27">
  <autoFilter ref="A2:N38" xr:uid="{F0669F58-E632-4D3B-92FD-5BECFF21C3A4}"/>
  <tableColumns count="14">
    <tableColumn id="1" xr3:uid="{64C8F1D4-3C64-4851-ADB6-E07BAE5CC746}" name="Código" totalsRowLabel="Total" dataDxfId="26" totalsRowDxfId="13"/>
    <tableColumn id="2" xr3:uid="{F48C4CEB-BE57-43BD-8CE5-293FA42E7FC3}" name="Descrição" dataDxfId="25" totalsRowDxfId="12"/>
    <tableColumn id="3" xr3:uid="{4F25E867-73A5-4B60-8615-E6C85E58C878}" name="Vlr Contábil" totalsRowFunction="sum" dataDxfId="24" totalsRowDxfId="11"/>
    <tableColumn id="4" xr3:uid="{09B4189F-548F-4862-BE0A-E88210E07BD3}" name="Base ICMS" totalsRowFunction="sum" dataDxfId="23" totalsRowDxfId="10"/>
    <tableColumn id="5" xr3:uid="{AC5E4128-430F-410B-A226-67E810D887B8}" name="Vlr ICMS" totalsRowFunction="sum" totalsRowDxfId="9"/>
    <tableColumn id="6" xr3:uid="{8357CC96-7114-4945-8957-3D534F3D25B5}" name="Isentas ICMS" totalsRowFunction="sum" dataDxfId="22" totalsRowDxfId="8"/>
    <tableColumn id="7" xr3:uid="{67BCDEDE-B374-42A0-948D-B6EF56C59FC4}" name="Outras ICMS" totalsRowFunction="sum" dataDxfId="21" totalsRowDxfId="7"/>
    <tableColumn id="8" xr3:uid="{8A0C182F-3B6F-46A9-995B-B926F701050A}" name="Vlr IPI" totalsRowFunction="sum" dataDxfId="20" totalsRowDxfId="6"/>
    <tableColumn id="9" xr3:uid="{B1C27BAA-76FD-47B6-AC47-C4DF9A26CFF5}" name="BC ICMS ST" totalsRowFunction="sum" dataDxfId="19" totalsRowDxfId="5"/>
    <tableColumn id="10" xr3:uid="{376107D0-CFBB-4302-AD97-3D4C04E487C6}" name="Vlr ICMS ST" totalsRowFunction="sum" dataDxfId="18" totalsRowDxfId="4"/>
    <tableColumn id="13" xr3:uid="{73854D18-7288-4317-BD4F-753D07686F09}" name="Estorno " totalsRowFunction="custom" dataDxfId="17" totalsRowDxfId="3" dataCellStyle="Vírgula">
      <calculatedColumnFormula>EntradasAC[[#This Row],[Vlr ICMS]]</calculatedColumnFormula>
      <totalsRowFormula>SUM(EntradasAC[[Estorno ]])-K24-K29</totalsRowFormula>
    </tableColumn>
    <tableColumn id="12" xr3:uid="{5954B598-E955-4AC7-AEC8-96DD8B1F50B3}" name="Observação" dataDxfId="16" totalsRowDxfId="2" dataCellStyle="Porcentagem"/>
    <tableColumn id="11" xr3:uid="{B1A5EE6D-C878-4CCC-84FC-3BE4BA144CE7}" name="Check" dataDxfId="15" totalsRowDxfId="1"/>
    <tableColumn id="14" xr3:uid="{93A0F807-0792-4E98-B9CB-36529B55A9DC}" name="ESTORNO DEV" totalsRowFunction="sum" dataDxfId="14" totalsRowDxfId="0">
      <calculatedColumnFormula>EntradasAC[[#This Row],[Vlr ICMS]]-EntradasAC[[#This Row],[Estorno 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494-3EAF-4312-B9C2-31FDA7895686}">
  <dimension ref="A1:J16"/>
  <sheetViews>
    <sheetView workbookViewId="0">
      <selection activeCell="D9" sqref="D9"/>
    </sheetView>
  </sheetViews>
  <sheetFormatPr defaultRowHeight="15" x14ac:dyDescent="0.25"/>
  <cols>
    <col min="1" max="1" width="45.42578125" bestFit="1" customWidth="1"/>
    <col min="2" max="2" width="11.42578125" bestFit="1" customWidth="1"/>
    <col min="3" max="3" width="22.140625" bestFit="1" customWidth="1"/>
    <col min="4" max="4" width="29" bestFit="1" customWidth="1"/>
    <col min="5" max="5" width="90.5703125" customWidth="1"/>
  </cols>
  <sheetData>
    <row r="1" spans="1:10" ht="15.75" thickBot="1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8</v>
      </c>
    </row>
    <row r="2" spans="1:10" ht="45.75" thickBot="1" x14ac:dyDescent="0.3">
      <c r="A2" s="4" t="s">
        <v>13</v>
      </c>
      <c r="B2" s="1" t="s">
        <v>1</v>
      </c>
      <c r="C2" s="2" t="s">
        <v>2</v>
      </c>
      <c r="D2" s="116" t="s">
        <v>7</v>
      </c>
      <c r="E2" s="116" t="s">
        <v>9</v>
      </c>
    </row>
    <row r="3" spans="1:10" ht="60.75" thickBot="1" x14ac:dyDescent="0.3">
      <c r="A3" s="4" t="s">
        <v>14</v>
      </c>
      <c r="B3" s="1" t="s">
        <v>3</v>
      </c>
      <c r="C3" s="2" t="s">
        <v>4</v>
      </c>
      <c r="D3" s="116"/>
      <c r="E3" s="116" t="s">
        <v>9</v>
      </c>
    </row>
    <row r="4" spans="1:10" ht="60.75" thickBot="1" x14ac:dyDescent="0.3">
      <c r="A4" s="4" t="s">
        <v>15</v>
      </c>
      <c r="B4" s="1" t="s">
        <v>5</v>
      </c>
      <c r="C4" s="2" t="s">
        <v>6</v>
      </c>
      <c r="D4" s="116">
        <v>8054</v>
      </c>
      <c r="E4" s="116" t="s">
        <v>9</v>
      </c>
      <c r="J4" s="3">
        <v>33049100</v>
      </c>
    </row>
    <row r="5" spans="1:10" x14ac:dyDescent="0.25">
      <c r="J5" s="3">
        <v>33049990</v>
      </c>
    </row>
    <row r="6" spans="1:10" x14ac:dyDescent="0.25">
      <c r="J6" s="3">
        <v>33051000</v>
      </c>
    </row>
    <row r="7" spans="1:10" x14ac:dyDescent="0.25">
      <c r="J7" s="3">
        <v>33059000</v>
      </c>
    </row>
    <row r="8" spans="1:10" x14ac:dyDescent="0.25">
      <c r="J8" s="3">
        <v>34011190</v>
      </c>
    </row>
    <row r="9" spans="1:10" x14ac:dyDescent="0.25">
      <c r="J9" s="3">
        <v>34013000</v>
      </c>
    </row>
    <row r="10" spans="1:10" x14ac:dyDescent="0.25">
      <c r="J10" s="3">
        <v>33062000</v>
      </c>
    </row>
    <row r="11" spans="1:10" x14ac:dyDescent="0.25">
      <c r="J11" s="3">
        <v>33072090</v>
      </c>
    </row>
    <row r="12" spans="1:10" x14ac:dyDescent="0.25">
      <c r="J12" s="3">
        <v>38089199</v>
      </c>
    </row>
    <row r="13" spans="1:10" x14ac:dyDescent="0.25">
      <c r="J13" s="3">
        <v>38089429</v>
      </c>
    </row>
    <row r="14" spans="1:10" x14ac:dyDescent="0.25">
      <c r="J14" s="3">
        <v>56012110</v>
      </c>
    </row>
    <row r="15" spans="1:10" x14ac:dyDescent="0.25">
      <c r="J15" s="3">
        <v>56012190</v>
      </c>
    </row>
    <row r="16" spans="1:10" x14ac:dyDescent="0.25">
      <c r="J16" s="3">
        <v>96190000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F366-775E-4FE2-8ACB-C580C486AD70}">
  <dimension ref="A2:N56"/>
  <sheetViews>
    <sheetView workbookViewId="0">
      <selection activeCell="A2" sqref="A2:B2"/>
    </sheetView>
  </sheetViews>
  <sheetFormatPr defaultRowHeight="15" x14ac:dyDescent="0.25"/>
  <cols>
    <col min="1" max="1" width="8.7109375" style="22" bestFit="1" customWidth="1"/>
    <col min="2" max="2" width="43.28515625" style="23" bestFit="1" customWidth="1"/>
    <col min="3" max="3" width="12.42578125" bestFit="1" customWidth="1"/>
    <col min="4" max="4" width="11.7109375" bestFit="1" customWidth="1"/>
    <col min="5" max="5" width="10" bestFit="1" customWidth="1"/>
    <col min="6" max="6" width="14" bestFit="1" customWidth="1"/>
    <col min="7" max="7" width="13.28515625" bestFit="1" customWidth="1"/>
    <col min="8" max="8" width="8.85546875" bestFit="1" customWidth="1"/>
    <col min="9" max="9" width="12.28515625" bestFit="1" customWidth="1"/>
    <col min="10" max="10" width="12.42578125" bestFit="1" customWidth="1"/>
    <col min="11" max="11" width="11.28515625" bestFit="1" customWidth="1"/>
    <col min="12" max="12" width="12.85546875" style="25" bestFit="1" customWidth="1"/>
    <col min="13" max="13" width="22.85546875" bestFit="1" customWidth="1"/>
    <col min="14" max="14" width="14" bestFit="1" customWidth="1"/>
  </cols>
  <sheetData>
    <row r="2" spans="1:14" x14ac:dyDescent="0.25">
      <c r="A2" s="5" t="s">
        <v>16</v>
      </c>
      <c r="B2" s="122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121" t="s">
        <v>26</v>
      </c>
      <c r="L2" s="5" t="s">
        <v>27</v>
      </c>
      <c r="M2" s="5" t="s">
        <v>28</v>
      </c>
      <c r="N2" s="5" t="s">
        <v>29</v>
      </c>
    </row>
    <row r="3" spans="1:14" x14ac:dyDescent="0.25">
      <c r="A3" s="6" t="s">
        <v>30</v>
      </c>
      <c r="B3" s="7" t="s">
        <v>31</v>
      </c>
      <c r="C3" s="8" t="e">
        <f ca="1">SUMIF(INDIRECT("TabelaEntradas[AC]"),EntradasAC[[#This Row],[Código]],INDIRECT("TabelaEntradas[VC]"))</f>
        <v>#REF!</v>
      </c>
      <c r="D3" s="8" t="e">
        <f ca="1">SUMIF(INDIRECT("TabelaEntradas[AC]"),EntradasAC[[#This Row],[Código]],INDIRECT("TabelaEntradas[VC]"))</f>
        <v>#REF!</v>
      </c>
      <c r="E3" s="8" t="e">
        <f ca="1">SUMIF(INDIRECT("TabelaEntradas[AC]"),EntradasAC[[#This Row],[Código]],INDIRECT("TabelaEntradas[VLR-ICMS]"))</f>
        <v>#REF!</v>
      </c>
      <c r="F3" s="29"/>
      <c r="G3" s="29"/>
      <c r="H3" s="8" t="e">
        <f ca="1">SUMIF(INDIRECT("TabelaEntradas[AC]"),EntradasAC[[#This Row],[Código]],INDIRECT("TabelaEntradas[VLR_IPI]"))</f>
        <v>#REF!</v>
      </c>
      <c r="I3" s="8" t="e">
        <f ca="1">SUMIF(INDIRECT("TabelaEntradas[AC]"),EntradasAC[[#This Row],[Código]],INDIRECT("TabelaEntradas[BC-ICMS-ST]"))</f>
        <v>#REF!</v>
      </c>
      <c r="J3" s="8" t="e">
        <f ca="1">SUMIF(INDIRECT("TabelaEntradas[AC]"),EntradasAC[[#This Row],[Código]],INDIRECT("TabelaEntradas[ICMS-ST]"))</f>
        <v>#REF!</v>
      </c>
      <c r="K3" s="9" t="e">
        <f ca="1">EntradasAC[[#This Row],[Vlr ICMS]]</f>
        <v>#REF!</v>
      </c>
      <c r="L3" s="10"/>
      <c r="M3" s="8" t="s">
        <v>32</v>
      </c>
      <c r="N3" s="8" t="e">
        <f ca="1">EntradasAC[[#This Row],[Vlr ICMS]]-EntradasAC[[#This Row],[Estorno ]]</f>
        <v>#REF!</v>
      </c>
    </row>
    <row r="4" spans="1:14" x14ac:dyDescent="0.25">
      <c r="A4" s="6" t="s">
        <v>33</v>
      </c>
      <c r="B4" s="7" t="s">
        <v>34</v>
      </c>
      <c r="C4" s="8" t="e">
        <f ca="1">SUMIF(INDIRECT("TabelaEntradas[AC]"),EntradasAC[[#This Row],[Código]],INDIRECT("TabelaEntradas[VC]"))</f>
        <v>#REF!</v>
      </c>
      <c r="D4" s="8" t="e">
        <f ca="1">SUMIF(INDIRECT("TabelaEntradas[AC]"),EntradasAC[[#This Row],[Código]],INDIRECT("TabelaEntradas[VC]"))</f>
        <v>#REF!</v>
      </c>
      <c r="E4" s="8" t="e">
        <f ca="1">SUMIF(INDIRECT("TabelaEntradas[AC]"),EntradasAC[[#This Row],[Código]],INDIRECT("TabelaEntradas[VLR-ICMS]"))</f>
        <v>#REF!</v>
      </c>
      <c r="F4" s="29"/>
      <c r="G4" s="29"/>
      <c r="H4" s="8" t="e">
        <f ca="1">SUMIF(INDIRECT("TabelaEntradas[AC]"),EntradasAC[[#This Row],[Código]],INDIRECT("TabelaEntradas[VLR_IPI]"))</f>
        <v>#REF!</v>
      </c>
      <c r="I4" s="8" t="e">
        <f ca="1">SUMIF(INDIRECT("TabelaEntradas[AC]"),EntradasAC[[#This Row],[Código]],INDIRECT("TabelaEntradas[BC-ICMS-ST]"))</f>
        <v>#REF!</v>
      </c>
      <c r="J4" s="8" t="e">
        <f ca="1">SUMIF(INDIRECT("TabelaEntradas[AC]"),EntradasAC[[#This Row],[Código]],INDIRECT("TabelaEntradas[ICMS-ST]"))</f>
        <v>#REF!</v>
      </c>
      <c r="K4" s="9" t="e">
        <f ca="1">EntradasAC[[#This Row],[Vlr ICMS]]</f>
        <v>#REF!</v>
      </c>
      <c r="L4" s="10"/>
      <c r="M4" s="8" t="s">
        <v>32</v>
      </c>
      <c r="N4" s="8" t="e">
        <f ca="1">EntradasAC[[#This Row],[Vlr ICMS]]-EntradasAC[[#This Row],[Estorno ]]</f>
        <v>#REF!</v>
      </c>
    </row>
    <row r="5" spans="1:14" x14ac:dyDescent="0.25">
      <c r="A5" s="6" t="s">
        <v>35</v>
      </c>
      <c r="B5" s="7" t="s">
        <v>36</v>
      </c>
      <c r="C5" s="8" t="e">
        <f ca="1">SUMIF(INDIRECT("TabelaEntradas[AC]"),EntradasAC[[#This Row],[Código]],INDIRECT("TabelaEntradas[VC]"))</f>
        <v>#REF!</v>
      </c>
      <c r="D5" s="8" t="e">
        <f ca="1">SUMIF(INDIRECT("TabelaEntradas[AC]"),EntradasAC[[#This Row],[Código]],INDIRECT("TabelaEntradas[VC]"))</f>
        <v>#REF!</v>
      </c>
      <c r="E5" s="8" t="e">
        <f ca="1">SUMIF(INDIRECT("TabelaEntradas[AC]"),EntradasAC[[#This Row],[Código]],INDIRECT("TabelaEntradas[VLR-ICMS]"))</f>
        <v>#REF!</v>
      </c>
      <c r="F5" s="29"/>
      <c r="G5" s="29"/>
      <c r="H5" s="8" t="e">
        <f ca="1">SUMIF(INDIRECT("TabelaEntradas[AC]"),EntradasAC[[#This Row],[Código]],INDIRECT("TabelaEntradas[VLR_IPI]"))</f>
        <v>#REF!</v>
      </c>
      <c r="I5" s="8" t="e">
        <f ca="1">SUMIF(INDIRECT("TabelaEntradas[AC]"),EntradasAC[[#This Row],[Código]],INDIRECT("TabelaEntradas[BC-ICMS-ST]"))</f>
        <v>#REF!</v>
      </c>
      <c r="J5" s="8" t="e">
        <f ca="1">SUMIF(INDIRECT("TabelaEntradas[AC]"),EntradasAC[[#This Row],[Código]],INDIRECT("TabelaEntradas[ICMS-ST]"))</f>
        <v>#REF!</v>
      </c>
      <c r="K5" s="9" t="e">
        <f ca="1">EntradasAC[[#This Row],[Vlr ICMS]]</f>
        <v>#REF!</v>
      </c>
      <c r="L5" s="10"/>
      <c r="M5" s="8" t="s">
        <v>32</v>
      </c>
      <c r="N5" s="8" t="e">
        <f ca="1">EntradasAC[[#This Row],[Vlr ICMS]]-EntradasAC[[#This Row],[Estorno ]]</f>
        <v>#REF!</v>
      </c>
    </row>
    <row r="6" spans="1:14" x14ac:dyDescent="0.25">
      <c r="A6" s="6">
        <v>133</v>
      </c>
      <c r="B6" s="7" t="s">
        <v>37</v>
      </c>
      <c r="C6" s="29"/>
      <c r="D6" s="29"/>
      <c r="E6" s="29"/>
      <c r="F6" s="28"/>
      <c r="G6" s="28"/>
      <c r="H6" s="29"/>
      <c r="I6" s="29"/>
      <c r="J6" s="29"/>
      <c r="K6" s="9">
        <f>EntradasAC[[#This Row],[Vlr ICMS]]</f>
        <v>0</v>
      </c>
      <c r="L6" s="10"/>
      <c r="M6" s="8" t="s">
        <v>38</v>
      </c>
      <c r="N6" s="8">
        <f>EntradasAC[[#This Row],[Vlr ICMS]]-EntradasAC[[#This Row],[Estorno ]]</f>
        <v>0</v>
      </c>
    </row>
    <row r="7" spans="1:14" x14ac:dyDescent="0.25">
      <c r="A7" s="11">
        <v>233</v>
      </c>
      <c r="B7" s="7" t="s">
        <v>39</v>
      </c>
      <c r="C7" s="29"/>
      <c r="D7" s="29"/>
      <c r="E7" s="29"/>
      <c r="F7" s="28"/>
      <c r="G7" s="28"/>
      <c r="H7" s="29"/>
      <c r="I7" s="29"/>
      <c r="J7" s="29"/>
      <c r="K7" s="9">
        <f>EntradasAC[[#This Row],[Vlr ICMS]]</f>
        <v>0</v>
      </c>
      <c r="L7" s="10"/>
      <c r="M7" s="8" t="s">
        <v>38</v>
      </c>
      <c r="N7" s="8">
        <f>EntradasAC[[#This Row],[Vlr ICMS]]-EntradasAC[[#This Row],[Estorno ]]</f>
        <v>0</v>
      </c>
    </row>
    <row r="8" spans="1:14" x14ac:dyDescent="0.25">
      <c r="A8" s="11">
        <v>132</v>
      </c>
      <c r="B8" s="7" t="s">
        <v>37</v>
      </c>
      <c r="C8" s="29"/>
      <c r="D8" s="29"/>
      <c r="E8" s="29"/>
      <c r="F8" s="29"/>
      <c r="G8" s="29"/>
      <c r="H8" s="29"/>
      <c r="I8" s="29"/>
      <c r="J8" s="29"/>
      <c r="K8" s="9">
        <f>EntradasAC[[#This Row],[Vlr ICMS]]</f>
        <v>0</v>
      </c>
      <c r="L8" s="10"/>
      <c r="M8" s="8" t="s">
        <v>32</v>
      </c>
      <c r="N8" s="8">
        <f>EntradasAC[[#This Row],[Vlr ICMS]]-EntradasAC[[#This Row],[Estorno ]]</f>
        <v>0</v>
      </c>
    </row>
    <row r="9" spans="1:14" s="12" customFormat="1" x14ac:dyDescent="0.25">
      <c r="A9" s="11">
        <v>171</v>
      </c>
      <c r="B9" s="7" t="s">
        <v>40</v>
      </c>
      <c r="C9" s="8" t="e">
        <f ca="1">SUMIF(INDIRECT("TabelaEntradas[AC]"),EntradasAC[[#This Row],[Código]],INDIRECT("TabelaEntradas[VC]"))</f>
        <v>#REF!</v>
      </c>
      <c r="D9" s="8" t="e">
        <f ca="1">SUMIF(INDIRECT("TabelaEntradas[AC]"),EntradasAC[[#This Row],[Código]],INDIRECT("TabelaEntradas[VC]"))</f>
        <v>#REF!</v>
      </c>
      <c r="E9" s="8" t="e">
        <f ca="1">SUMIF(INDIRECT("TabelaEntradas[AC]"),EntradasAC[[#This Row],[Código]],INDIRECT("TabelaEntradas[VLR-ICMS]"))</f>
        <v>#REF!</v>
      </c>
      <c r="F9" s="29"/>
      <c r="G9" s="29"/>
      <c r="H9" s="8" t="e">
        <f ca="1">SUMIF(INDIRECT("TabelaEntradas[AC]"),EntradasAC[[#This Row],[Código]],INDIRECT("TabelaEntradas[VLR_IPI]"))</f>
        <v>#REF!</v>
      </c>
      <c r="I9" s="8" t="e">
        <f ca="1">SUMIF(INDIRECT("TabelaEntradas[AC]"),EntradasAC[[#This Row],[Código]],INDIRECT("TabelaEntradas[BC-ICMS-ST]"))</f>
        <v>#REF!</v>
      </c>
      <c r="J9" s="8" t="e">
        <f ca="1">SUMIF(INDIRECT("TabelaEntradas[AC]"),EntradasAC[[#This Row],[Código]],INDIRECT("TabelaEntradas[ICMS-ST]"))</f>
        <v>#REF!</v>
      </c>
      <c r="K9" s="9" t="e">
        <f ca="1">EntradasAC[[#This Row],[Vlr ICMS]]</f>
        <v>#REF!</v>
      </c>
      <c r="L9" s="10"/>
      <c r="M9" s="8" t="s">
        <v>32</v>
      </c>
      <c r="N9" s="8" t="e">
        <f ca="1">EntradasAC[[#This Row],[Vlr ICMS]]-EntradasAC[[#This Row],[Estorno ]]</f>
        <v>#REF!</v>
      </c>
    </row>
    <row r="10" spans="1:14" s="12" customFormat="1" x14ac:dyDescent="0.25">
      <c r="A10" s="11">
        <v>172</v>
      </c>
      <c r="B10" s="7" t="s">
        <v>41</v>
      </c>
      <c r="C10" s="8" t="e">
        <f ca="1">SUMIF(INDIRECT("TabelaEntradas[AC]"),EntradasAC[[#This Row],[Código]],INDIRECT("TabelaEntradas[VC]"))</f>
        <v>#REF!</v>
      </c>
      <c r="D10" s="8" t="e">
        <f ca="1">SUMIF(INDIRECT("TabelaEntradas[AC]"),EntradasAC[[#This Row],[Código]],INDIRECT("TabelaEntradas[VC]"))</f>
        <v>#REF!</v>
      </c>
      <c r="E10" s="8" t="e">
        <f ca="1">SUMIF(INDIRECT("TabelaEntradas[AC]"),EntradasAC[[#This Row],[Código]],INDIRECT("TabelaEntradas[VLR-ICMS]"))</f>
        <v>#REF!</v>
      </c>
      <c r="F10" s="29"/>
      <c r="G10" s="29"/>
      <c r="H10" s="8" t="e">
        <f ca="1">SUMIF(INDIRECT("TabelaEntradas[AC]"),EntradasAC[[#This Row],[Código]],INDIRECT("TabelaEntradas[VLR_IPI]"))</f>
        <v>#REF!</v>
      </c>
      <c r="I10" s="8" t="e">
        <f ca="1">SUMIF(INDIRECT("TabelaEntradas[AC]"),EntradasAC[[#This Row],[Código]],INDIRECT("TabelaEntradas[BC-ICMS-ST]"))</f>
        <v>#REF!</v>
      </c>
      <c r="J10" s="8" t="e">
        <f ca="1">SUMIF(INDIRECT("TabelaEntradas[AC]"),EntradasAC[[#This Row],[Código]],INDIRECT("TabelaEntradas[ICMS-ST]"))</f>
        <v>#REF!</v>
      </c>
      <c r="K10" s="9" t="e">
        <f ca="1">EntradasAC[[#This Row],[Vlr ICMS]]</f>
        <v>#REF!</v>
      </c>
      <c r="L10" s="10"/>
      <c r="M10" s="8" t="s">
        <v>32</v>
      </c>
      <c r="N10" s="8" t="e">
        <f ca="1">EntradasAC[[#This Row],[Vlr ICMS]]-EntradasAC[[#This Row],[Estorno ]]</f>
        <v>#REF!</v>
      </c>
    </row>
    <row r="11" spans="1:14" s="12" customFormat="1" x14ac:dyDescent="0.25">
      <c r="A11" s="11">
        <v>243</v>
      </c>
      <c r="B11" s="7" t="s">
        <v>42</v>
      </c>
      <c r="C11" s="8" t="e">
        <f ca="1">SUMIF(INDIRECT("TabelaEntradas[AC]"),EntradasAC[[#This Row],[Código]],INDIRECT("TabelaEntradas[VC]"))</f>
        <v>#REF!</v>
      </c>
      <c r="D11" s="8" t="e">
        <f ca="1">SUMIF(INDIRECT("TabelaEntradas[AC]"),EntradasAC[[#This Row],[Código]],INDIRECT("TabelaEntradas[VC]"))</f>
        <v>#REF!</v>
      </c>
      <c r="E11" s="8" t="e">
        <f ca="1">SUMIF(INDIRECT("TabelaEntradas[AC]"),EntradasAC[[#This Row],[Código]],INDIRECT("TabelaEntradas[VLR-ICMS]"))</f>
        <v>#REF!</v>
      </c>
      <c r="F11" s="29"/>
      <c r="G11" s="29"/>
      <c r="H11" s="8" t="e">
        <f ca="1">SUMIF(INDIRECT("TabelaEntradas[AC]"),EntradasAC[[#This Row],[Código]],INDIRECT("TabelaEntradas[VLR_IPI]"))</f>
        <v>#REF!</v>
      </c>
      <c r="I11" s="8" t="e">
        <f ca="1">SUMIF(INDIRECT("TabelaEntradas[AC]"),EntradasAC[[#This Row],[Código]],INDIRECT("TabelaEntradas[BC-ICMS-ST]"))</f>
        <v>#REF!</v>
      </c>
      <c r="J11" s="8" t="e">
        <f ca="1">SUMIF(INDIRECT("TabelaEntradas[AC]"),EntradasAC[[#This Row],[Código]],INDIRECT("TabelaEntradas[ICMS-ST]"))</f>
        <v>#REF!</v>
      </c>
      <c r="K11" s="9" t="e">
        <f ca="1">EntradasAC[[#This Row],[Vlr ICMS]]</f>
        <v>#REF!</v>
      </c>
      <c r="L11" s="10">
        <v>0.03</v>
      </c>
      <c r="M11" s="8"/>
      <c r="N11" s="8" t="e">
        <f ca="1">EntradasAC[[#This Row],[Vlr ICMS]]-EntradasAC[[#This Row],[Estorno ]]</f>
        <v>#REF!</v>
      </c>
    </row>
    <row r="12" spans="1:14" x14ac:dyDescent="0.25">
      <c r="A12" s="11">
        <v>224</v>
      </c>
      <c r="B12" s="7" t="s">
        <v>43</v>
      </c>
      <c r="C12" s="8" t="e">
        <f ca="1">SUMIF(INDIRECT("TabelaEntradas[AC]"),EntradasAC[[#This Row],[Código]],INDIRECT("TabelaEntradas[VC]"))</f>
        <v>#REF!</v>
      </c>
      <c r="D12" s="8" t="e">
        <f ca="1">SUMIF(INDIRECT("TabelaEntradas[AC]"),EntradasAC[[#This Row],[Código]],INDIRECT("TabelaEntradas[VC]"))</f>
        <v>#REF!</v>
      </c>
      <c r="E12" s="8" t="e">
        <f ca="1">SUMIF(INDIRECT("TabelaEntradas[AC]"),EntradasAC[[#This Row],[Código]],INDIRECT("TabelaEntradas[VLR-ICMS]"))</f>
        <v>#REF!</v>
      </c>
      <c r="F12" s="29"/>
      <c r="G12" s="29"/>
      <c r="H12" s="8" t="e">
        <f ca="1">SUMIF(INDIRECT("TabelaEntradas[AC]"),EntradasAC[[#This Row],[Código]],INDIRECT("TabelaEntradas[VLR_IPI]"))</f>
        <v>#REF!</v>
      </c>
      <c r="I12" s="8" t="e">
        <f ca="1">SUMIF(INDIRECT("TabelaEntradas[AC]"),EntradasAC[[#This Row],[Código]],INDIRECT("TabelaEntradas[BC-ICMS-ST]"))</f>
        <v>#REF!</v>
      </c>
      <c r="J12" s="8" t="e">
        <f ca="1">SUMIF(INDIRECT("TabelaEntradas[AC]"),EntradasAC[[#This Row],[Código]],INDIRECT("TabelaEntradas[ICMS-ST]"))</f>
        <v>#REF!</v>
      </c>
      <c r="K12" s="9" t="e">
        <f ca="1">EntradasAC[[#This Row],[Vlr ICMS]]</f>
        <v>#REF!</v>
      </c>
      <c r="L12" s="10"/>
      <c r="M12" s="8" t="s">
        <v>32</v>
      </c>
      <c r="N12" s="8" t="e">
        <f ca="1">EntradasAC[[#This Row],[Vlr ICMS]]-EntradasAC[[#This Row],[Estorno ]]</f>
        <v>#REF!</v>
      </c>
    </row>
    <row r="13" spans="1:14" x14ac:dyDescent="0.25">
      <c r="A13" s="11">
        <v>251</v>
      </c>
      <c r="B13" s="7" t="s">
        <v>44</v>
      </c>
      <c r="C13" s="8" t="e">
        <f ca="1">SUMIF(INDIRECT("TabelaEntradas[AC]"),EntradasAC[[#This Row],[Código]],INDIRECT("TabelaEntradas[VC]"))</f>
        <v>#REF!</v>
      </c>
      <c r="D13" s="8" t="e">
        <f ca="1">SUMIF(INDIRECT("TabelaEntradas[AC]"),EntradasAC[[#This Row],[Código]],INDIRECT("TabelaEntradas[VC]"))</f>
        <v>#REF!</v>
      </c>
      <c r="E13" s="8" t="e">
        <f ca="1">SUMIF(INDIRECT("TabelaEntradas[AC]"),EntradasAC[[#This Row],[Código]],INDIRECT("TabelaEntradas[VLR-ICMS]"))</f>
        <v>#REF!</v>
      </c>
      <c r="F13" s="29"/>
      <c r="G13" s="29"/>
      <c r="H13" s="8" t="e">
        <f ca="1">SUMIF(INDIRECT("TabelaEntradas[AC]"),EntradasAC[[#This Row],[Código]],INDIRECT("TabelaEntradas[VLR_IPI]"))</f>
        <v>#REF!</v>
      </c>
      <c r="I13" s="8" t="e">
        <f ca="1">SUMIF(INDIRECT("TabelaEntradas[AC]"),EntradasAC[[#This Row],[Código]],INDIRECT("TabelaEntradas[BC-ICMS-ST]"))</f>
        <v>#REF!</v>
      </c>
      <c r="J13" s="8" t="e">
        <f ca="1">SUMIF(INDIRECT("TabelaEntradas[AC]"),EntradasAC[[#This Row],[Código]],INDIRECT("TabelaEntradas[ICMS-ST]"))</f>
        <v>#REF!</v>
      </c>
      <c r="K13" s="9" t="e">
        <f ca="1">EntradasAC[[#This Row],[Vlr ICMS]]</f>
        <v>#REF!</v>
      </c>
      <c r="L13" s="10"/>
      <c r="M13" s="8" t="s">
        <v>32</v>
      </c>
      <c r="N13" s="8" t="e">
        <f ca="1">EntradasAC[[#This Row],[Vlr ICMS]]-EntradasAC[[#This Row],[Estorno ]]</f>
        <v>#REF!</v>
      </c>
    </row>
    <row r="14" spans="1:14" x14ac:dyDescent="0.25">
      <c r="A14" s="11">
        <v>259</v>
      </c>
      <c r="B14" s="7" t="s">
        <v>45</v>
      </c>
      <c r="C14" s="8" t="e">
        <f ca="1">SUMIF(INDIRECT("TabelaEntradas[AC]"),EntradasAC[[#This Row],[Código]],INDIRECT("TabelaEntradas[VC]"))</f>
        <v>#REF!</v>
      </c>
      <c r="D14" s="8" t="e">
        <f ca="1">SUMIF(INDIRECT("TabelaEntradas[AC]"),EntradasAC[[#This Row],[Código]],INDIRECT("TabelaEntradas[VC]"))</f>
        <v>#REF!</v>
      </c>
      <c r="E14" s="8" t="e">
        <f ca="1">SUMIF(INDIRECT("TabelaEntradas[AC]"),EntradasAC[[#This Row],[Código]],INDIRECT("TabelaEntradas[VLR-ICMS]"))</f>
        <v>#REF!</v>
      </c>
      <c r="F14" s="29"/>
      <c r="G14" s="29"/>
      <c r="H14" s="8" t="e">
        <f ca="1">SUMIF(INDIRECT("TabelaEntradas[AC]"),EntradasAC[[#This Row],[Código]],INDIRECT("TabelaEntradas[VLR_IPI]"))</f>
        <v>#REF!</v>
      </c>
      <c r="I14" s="8" t="e">
        <f ca="1">SUMIF(INDIRECT("TabelaEntradas[AC]"),EntradasAC[[#This Row],[Código]],INDIRECT("TabelaEntradas[BC-ICMS-ST]"))</f>
        <v>#REF!</v>
      </c>
      <c r="J14" s="8" t="e">
        <f ca="1">SUMIF(INDIRECT("TabelaEntradas[AC]"),EntradasAC[[#This Row],[Código]],INDIRECT("TabelaEntradas[ICMS-ST]"))</f>
        <v>#REF!</v>
      </c>
      <c r="K14" s="9" t="e">
        <f ca="1">EntradasAC[[#This Row],[Vlr ICMS]]</f>
        <v>#REF!</v>
      </c>
      <c r="L14" s="10">
        <v>0.14000000000000001</v>
      </c>
      <c r="M14" s="8"/>
      <c r="N14" s="8" t="e">
        <f ca="1">EntradasAC[[#This Row],[Vlr ICMS]]-EntradasAC[[#This Row],[Estorno ]]</f>
        <v>#REF!</v>
      </c>
    </row>
    <row r="15" spans="1:14" x14ac:dyDescent="0.25">
      <c r="A15" s="11">
        <v>253</v>
      </c>
      <c r="B15" s="7" t="s">
        <v>46</v>
      </c>
      <c r="C15" s="8" t="e">
        <f ca="1">SUMIF(INDIRECT("TabelaEntradas[AC]"),EntradasAC[[#This Row],[Código]],INDIRECT("TabelaEntradas[VC]"))</f>
        <v>#REF!</v>
      </c>
      <c r="D15" s="8" t="e">
        <f ca="1">SUMIF(INDIRECT("TabelaEntradas[AC]"),EntradasAC[[#This Row],[Código]],INDIRECT("TabelaEntradas[VC]"))</f>
        <v>#REF!</v>
      </c>
      <c r="E15" s="8" t="e">
        <f ca="1">SUMIF(INDIRECT("TabelaEntradas[AC]"),EntradasAC[[#This Row],[Código]],INDIRECT("TabelaEntradas[VLR-ICMS]"))</f>
        <v>#REF!</v>
      </c>
      <c r="F15" s="29"/>
      <c r="G15" s="29"/>
      <c r="H15" s="8" t="e">
        <f ca="1">SUMIF(INDIRECT("TabelaEntradas[AC]"),EntradasAC[[#This Row],[Código]],INDIRECT("TabelaEntradas[VLR_IPI]"))</f>
        <v>#REF!</v>
      </c>
      <c r="I15" s="8" t="e">
        <f ca="1">SUMIF(INDIRECT("TabelaEntradas[AC]"),EntradasAC[[#This Row],[Código]],INDIRECT("TabelaEntradas[BC-ICMS-ST]"))</f>
        <v>#REF!</v>
      </c>
      <c r="J15" s="8" t="e">
        <f ca="1">SUMIF(INDIRECT("TabelaEntradas[AC]"),EntradasAC[[#This Row],[Código]],INDIRECT("TabelaEntradas[ICMS-ST]"))</f>
        <v>#REF!</v>
      </c>
      <c r="K15" s="9" t="e">
        <f ca="1">EntradasAC[[#This Row],[Vlr ICMS]]</f>
        <v>#REF!</v>
      </c>
      <c r="L15" s="13">
        <v>1.4999999999999999E-2</v>
      </c>
      <c r="M15" s="8"/>
      <c r="N15" s="8" t="e">
        <f ca="1">EntradasAC[[#This Row],[Vlr ICMS]]-EntradasAC[[#This Row],[Estorno ]]</f>
        <v>#REF!</v>
      </c>
    </row>
    <row r="16" spans="1:14" x14ac:dyDescent="0.25">
      <c r="A16" s="11">
        <v>301</v>
      </c>
      <c r="B16" s="7" t="s">
        <v>47</v>
      </c>
      <c r="C16" s="8" t="e">
        <f ca="1">SUMIF(INDIRECT("TabelaEntradas[AC]"),EntradasAC[[#This Row],[Código]],INDIRECT("TabelaEntradas[VC]"))</f>
        <v>#REF!</v>
      </c>
      <c r="D16" s="8" t="e">
        <f ca="1">SUMIF(INDIRECT("TabelaEntradas[AC]"),EntradasAC[[#This Row],[Código]],INDIRECT("TabelaEntradas[VC]"))</f>
        <v>#REF!</v>
      </c>
      <c r="E16" s="8" t="e">
        <f ca="1">SUMIF(INDIRECT("TabelaEntradas[AC]"),EntradasAC[[#This Row],[Código]],INDIRECT("TabelaEntradas[VLR-ICMS]"))</f>
        <v>#REF!</v>
      </c>
      <c r="F16" s="29"/>
      <c r="G16" s="29"/>
      <c r="H16" s="8" t="e">
        <f ca="1">SUMIF(INDIRECT("TabelaEntradas[AC]"),EntradasAC[[#This Row],[Código]],INDIRECT("TabelaEntradas[VLR_IPI]"))</f>
        <v>#REF!</v>
      </c>
      <c r="I16" s="8" t="e">
        <f ca="1">SUMIF(INDIRECT("TabelaEntradas[AC]"),EntradasAC[[#This Row],[Código]],INDIRECT("TabelaEntradas[BC-ICMS-ST]"))</f>
        <v>#REF!</v>
      </c>
      <c r="J16" s="8" t="e">
        <f ca="1">SUMIF(INDIRECT("TabelaEntradas[AC]"),EntradasAC[[#This Row],[Código]],INDIRECT("TabelaEntradas[ICMS-ST]"))</f>
        <v>#REF!</v>
      </c>
      <c r="K16" s="9" t="e">
        <f ca="1">EntradasAC[[#This Row],[Vlr ICMS]]</f>
        <v>#REF!</v>
      </c>
      <c r="L16" s="10"/>
      <c r="M16" s="8" t="s">
        <v>32</v>
      </c>
      <c r="N16" s="8" t="e">
        <f ca="1">EntradasAC[[#This Row],[Vlr ICMS]]-EntradasAC[[#This Row],[Estorno ]]</f>
        <v>#REF!</v>
      </c>
    </row>
    <row r="17" spans="1:14" x14ac:dyDescent="0.25">
      <c r="A17" s="11">
        <v>302</v>
      </c>
      <c r="B17" s="7" t="s">
        <v>48</v>
      </c>
      <c r="C17" s="8" t="e">
        <f ca="1">SUMIF(INDIRECT("TabelaEntradas[AC]"),EntradasAC[[#This Row],[Código]],INDIRECT("TabelaEntradas[VC]"))</f>
        <v>#REF!</v>
      </c>
      <c r="D17" s="8" t="e">
        <f ca="1">SUMIF(INDIRECT("TabelaEntradas[AC]"),EntradasAC[[#This Row],[Código]],INDIRECT("TabelaEntradas[VC]"))</f>
        <v>#REF!</v>
      </c>
      <c r="E17" s="8" t="e">
        <f ca="1">SUMIF(INDIRECT("TabelaEntradas[AC]"),EntradasAC[[#This Row],[Código]],INDIRECT("TabelaEntradas[VLR-ICMS]"))</f>
        <v>#REF!</v>
      </c>
      <c r="F17" s="29"/>
      <c r="G17" s="29"/>
      <c r="H17" s="8" t="e">
        <f ca="1">SUMIF(INDIRECT("TabelaEntradas[AC]"),EntradasAC[[#This Row],[Código]],INDIRECT("TabelaEntradas[VLR_IPI]"))</f>
        <v>#REF!</v>
      </c>
      <c r="I17" s="8" t="e">
        <f ca="1">SUMIF(INDIRECT("TabelaEntradas[AC]"),EntradasAC[[#This Row],[Código]],INDIRECT("TabelaEntradas[BC-ICMS-ST]"))</f>
        <v>#REF!</v>
      </c>
      <c r="J17" s="8" t="e">
        <f ca="1">SUMIF(INDIRECT("TabelaEntradas[AC]"),EntradasAC[[#This Row],[Código]],INDIRECT("TabelaEntradas[ICMS-ST]"))</f>
        <v>#REF!</v>
      </c>
      <c r="K17" s="9" t="e">
        <f ca="1">EntradasAC[[#This Row],[Vlr ICMS]]</f>
        <v>#REF!</v>
      </c>
      <c r="L17" s="10">
        <v>0.03</v>
      </c>
      <c r="M17" s="8"/>
      <c r="N17" s="8" t="e">
        <f ca="1">EntradasAC[[#This Row],[Vlr ICMS]]-EntradasAC[[#This Row],[Estorno ]]</f>
        <v>#REF!</v>
      </c>
    </row>
    <row r="18" spans="1:14" x14ac:dyDescent="0.25">
      <c r="A18" s="6">
        <v>308</v>
      </c>
      <c r="B18" s="7" t="s">
        <v>49</v>
      </c>
      <c r="C18" s="8" t="e">
        <f ca="1">SUMIF(INDIRECT("TabelaEntradas[AC]"),EntradasAC[[#This Row],[Código]],INDIRECT("TabelaEntradas[VC]"))</f>
        <v>#REF!</v>
      </c>
      <c r="D18" s="8" t="e">
        <f ca="1">SUMIF(INDIRECT("TabelaEntradas[AC]"),EntradasAC[[#This Row],[Código]],INDIRECT("TabelaEntradas[VC]"))</f>
        <v>#REF!</v>
      </c>
      <c r="E18" s="8" t="e">
        <f ca="1">SUMIF(INDIRECT("TabelaEntradas[AC]"),EntradasAC[[#This Row],[Código]],INDIRECT("TabelaEntradas[VLR-ICMS]"))</f>
        <v>#REF!</v>
      </c>
      <c r="F18" s="29"/>
      <c r="G18" s="29"/>
      <c r="H18" s="8" t="e">
        <f ca="1">SUMIF(INDIRECT("TabelaEntradas[AC]"),EntradasAC[[#This Row],[Código]],INDIRECT("TabelaEntradas[VLR_IPI]"))</f>
        <v>#REF!</v>
      </c>
      <c r="I18" s="8" t="e">
        <f ca="1">SUMIF(INDIRECT("TabelaEntradas[AC]"),EntradasAC[[#This Row],[Código]],INDIRECT("TabelaEntradas[BC-ICMS-ST]"))</f>
        <v>#REF!</v>
      </c>
      <c r="J18" s="8" t="e">
        <f ca="1">SUMIF(INDIRECT("TabelaEntradas[AC]"),EntradasAC[[#This Row],[Código]],INDIRECT("TabelaEntradas[ICMS-ST]"))</f>
        <v>#REF!</v>
      </c>
      <c r="K18" s="9" t="e">
        <f ca="1">EntradasAC[[#This Row],[Vlr ICMS]]</f>
        <v>#REF!</v>
      </c>
      <c r="L18" s="10"/>
      <c r="M18" s="8" t="s">
        <v>32</v>
      </c>
      <c r="N18" s="8" t="e">
        <f ca="1">EntradasAC[[#This Row],[Vlr ICMS]]-EntradasAC[[#This Row],[Estorno ]]</f>
        <v>#REF!</v>
      </c>
    </row>
    <row r="19" spans="1:14" x14ac:dyDescent="0.25">
      <c r="A19" s="6" t="s">
        <v>50</v>
      </c>
      <c r="B19" s="7" t="s">
        <v>51</v>
      </c>
      <c r="C19" s="8" t="e">
        <f ca="1">SUMIF(INDIRECT("TabelaEntradas[AC]"),EntradasAC[[#This Row],[Código]],INDIRECT("TabelaEntradas[VC]"))</f>
        <v>#REF!</v>
      </c>
      <c r="D19" s="8" t="e">
        <f ca="1">SUMIF(INDIRECT("TabelaEntradas[AC]"),EntradasAC[[#This Row],[Código]],INDIRECT("TabelaEntradas[VC]"))</f>
        <v>#REF!</v>
      </c>
      <c r="E19" s="8" t="e">
        <f ca="1">SUMIF(INDIRECT("TabelaEntradas[AC]"),EntradasAC[[#This Row],[Código]],INDIRECT("TabelaEntradas[VLR-ICMS]"))</f>
        <v>#REF!</v>
      </c>
      <c r="F19" s="29"/>
      <c r="G19" s="29"/>
      <c r="H19" s="8" t="e">
        <f ca="1">SUMIF(INDIRECT("TabelaEntradas[AC]"),EntradasAC[[#This Row],[Código]],INDIRECT("TabelaEntradas[VLR_IPI]"))</f>
        <v>#REF!</v>
      </c>
      <c r="I19" s="8" t="e">
        <f ca="1">SUMIF(INDIRECT("TabelaEntradas[AC]"),EntradasAC[[#This Row],[Código]],INDIRECT("TabelaEntradas[BC-ICMS-ST]"))</f>
        <v>#REF!</v>
      </c>
      <c r="J19" s="8" t="e">
        <f ca="1">SUMIF(INDIRECT("TabelaEntradas[AC]"),EntradasAC[[#This Row],[Código]],INDIRECT("TabelaEntradas[ICMS-ST]"))</f>
        <v>#REF!</v>
      </c>
      <c r="K19" s="9" t="e">
        <f ca="1">EntradasAC[[#This Row],[Vlr ICMS]]</f>
        <v>#REF!</v>
      </c>
      <c r="L19" s="10"/>
      <c r="M19" s="8"/>
      <c r="N19" s="8" t="e">
        <f ca="1">EntradasAC[[#This Row],[Vlr ICMS]]-EntradasAC[[#This Row],[Estorno ]]</f>
        <v>#REF!</v>
      </c>
    </row>
    <row r="20" spans="1:14" x14ac:dyDescent="0.25">
      <c r="A20" s="11">
        <v>324</v>
      </c>
      <c r="B20" s="7" t="s">
        <v>52</v>
      </c>
      <c r="C20" s="8" t="e">
        <f ca="1">SUMIF(INDIRECT("TabelaEntradas[AC]"),EntradasAC[[#This Row],[Código]],INDIRECT("TabelaEntradas[VC]"))</f>
        <v>#REF!</v>
      </c>
      <c r="D20" s="8" t="e">
        <f ca="1">SUMIF(INDIRECT("TabelaEntradas[AC]"),EntradasAC[[#This Row],[Código]],INDIRECT("TabelaEntradas[VC]"))</f>
        <v>#REF!</v>
      </c>
      <c r="E20" s="8" t="e">
        <f ca="1">SUMIF(INDIRECT("TabelaEntradas[AC]"),EntradasAC[[#This Row],[Código]],INDIRECT("TabelaEntradas[VLR-ICMS]"))</f>
        <v>#REF!</v>
      </c>
      <c r="F20" s="29"/>
      <c r="G20" s="29"/>
      <c r="H20" s="8" t="e">
        <f ca="1">SUMIF(INDIRECT("TabelaEntradas[AC]"),EntradasAC[[#This Row],[Código]],INDIRECT("TabelaEntradas[VLR_IPI]"))</f>
        <v>#REF!</v>
      </c>
      <c r="I20" s="8" t="e">
        <f ca="1">SUMIF(INDIRECT("TabelaEntradas[AC]"),EntradasAC[[#This Row],[Código]],INDIRECT("TabelaEntradas[BC-ICMS-ST]"))</f>
        <v>#REF!</v>
      </c>
      <c r="J20" s="8" t="e">
        <f ca="1">SUMIF(INDIRECT("TabelaEntradas[AC]"),EntradasAC[[#This Row],[Código]],INDIRECT("TabelaEntradas[ICMS-ST]"))</f>
        <v>#REF!</v>
      </c>
      <c r="K20" s="9" t="e">
        <f ca="1">EntradasAC[[#This Row],[Vlr ICMS]]</f>
        <v>#REF!</v>
      </c>
      <c r="L20" s="10"/>
      <c r="M20" s="8" t="s">
        <v>32</v>
      </c>
      <c r="N20" s="8" t="e">
        <f ca="1">EntradasAC[[#This Row],[Vlr ICMS]]-EntradasAC[[#This Row],[Estorno ]]</f>
        <v>#REF!</v>
      </c>
    </row>
    <row r="21" spans="1:14" x14ac:dyDescent="0.25">
      <c r="A21" s="11">
        <v>349</v>
      </c>
      <c r="B21" s="7" t="s">
        <v>53</v>
      </c>
      <c r="C21" s="8" t="e">
        <f ca="1">SUMIF(INDIRECT("TabelaEntradas[AC]"),EntradasAC[[#This Row],[Código]],INDIRECT("TabelaEntradas[VC]"))</f>
        <v>#REF!</v>
      </c>
      <c r="D21" s="8" t="e">
        <f ca="1">SUMIF(INDIRECT("TabelaEntradas[AC]"),EntradasAC[[#This Row],[Código]],INDIRECT("TabelaEntradas[VC]"))</f>
        <v>#REF!</v>
      </c>
      <c r="E21" s="8" t="e">
        <f ca="1">SUMIF(INDIRECT("TabelaEntradas[AC]"),EntradasAC[[#This Row],[Código]],INDIRECT("TabelaEntradas[VLR-ICMS]"))</f>
        <v>#REF!</v>
      </c>
      <c r="F21" s="29"/>
      <c r="G21" s="29"/>
      <c r="H21" s="8" t="e">
        <f ca="1">SUMIF(INDIRECT("TabelaEntradas[AC]"),EntradasAC[[#This Row],[Código]],INDIRECT("TabelaEntradas[VLR_IPI]"))</f>
        <v>#REF!</v>
      </c>
      <c r="I21" s="8" t="e">
        <f ca="1">SUMIF(INDIRECT("TabelaEntradas[AC]"),EntradasAC[[#This Row],[Código]],INDIRECT("TabelaEntradas[BC-ICMS-ST]"))</f>
        <v>#REF!</v>
      </c>
      <c r="J21" s="8" t="e">
        <f ca="1">SUMIF(INDIRECT("TabelaEntradas[AC]"),EntradasAC[[#This Row],[Código]],INDIRECT("TabelaEntradas[ICMS-ST]"))</f>
        <v>#REF!</v>
      </c>
      <c r="K21" s="9" t="e">
        <f ca="1">EntradasAC[[#This Row],[Vlr ICMS]]</f>
        <v>#REF!</v>
      </c>
      <c r="L21" s="10"/>
      <c r="M21" s="8" t="s">
        <v>32</v>
      </c>
      <c r="N21" s="8" t="e">
        <f ca="1">EntradasAC[[#This Row],[Vlr ICMS]]-EntradasAC[[#This Row],[Estorno ]]</f>
        <v>#REF!</v>
      </c>
    </row>
    <row r="22" spans="1:14" x14ac:dyDescent="0.25">
      <c r="A22" s="11">
        <v>453</v>
      </c>
      <c r="B22" s="7" t="s">
        <v>54</v>
      </c>
      <c r="C22" s="8" t="e">
        <f ca="1">SUMIF(INDIRECT("TabelaEntradas[AC]"),EntradasAC[[#This Row],[Código]],INDIRECT("TabelaEntradas[VC]"))</f>
        <v>#REF!</v>
      </c>
      <c r="D22" s="8" t="e">
        <f ca="1">SUMIF(INDIRECT("TabelaEntradas[AC]"),EntradasAC[[#This Row],[Código]],INDIRECT("TabelaEntradas[VC]"))</f>
        <v>#REF!</v>
      </c>
      <c r="E22" s="8" t="e">
        <f ca="1">SUMIF(INDIRECT("TabelaEntradas[AC]"),EntradasAC[[#This Row],[Código]],INDIRECT("TabelaEntradas[VLR-ICMS]"))</f>
        <v>#REF!</v>
      </c>
      <c r="F22" s="29"/>
      <c r="G22" s="29"/>
      <c r="H22" s="8" t="e">
        <f ca="1">SUMIF(INDIRECT("TabelaEntradas[AC]"),EntradasAC[[#This Row],[Código]],INDIRECT("TabelaEntradas[VLR_IPI]"))</f>
        <v>#REF!</v>
      </c>
      <c r="I22" s="8" t="e">
        <f ca="1">SUMIF(INDIRECT("TabelaEntradas[AC]"),EntradasAC[[#This Row],[Código]],INDIRECT("TabelaEntradas[BC-ICMS-ST]"))</f>
        <v>#REF!</v>
      </c>
      <c r="J22" s="8" t="e">
        <f ca="1">SUMIF(INDIRECT("TabelaEntradas[AC]"),EntradasAC[[#This Row],[Código]],INDIRECT("TabelaEntradas[ICMS-ST]"))</f>
        <v>#REF!</v>
      </c>
      <c r="K22" s="9" t="e">
        <f ca="1">EntradasAC[[#This Row],[Vlr ICMS]]</f>
        <v>#REF!</v>
      </c>
      <c r="L22" s="10"/>
      <c r="M22" s="8" t="s">
        <v>32</v>
      </c>
      <c r="N22" s="8" t="e">
        <f ca="1">EntradasAC[[#This Row],[Vlr ICMS]]-EntradasAC[[#This Row],[Estorno ]]</f>
        <v>#REF!</v>
      </c>
    </row>
    <row r="23" spans="1:14" x14ac:dyDescent="0.25">
      <c r="A23" s="11">
        <v>410</v>
      </c>
      <c r="B23" s="7" t="s">
        <v>55</v>
      </c>
      <c r="C23" s="8" t="e">
        <f ca="1">SUMIF(INDIRECT("TabelaEntradas[AC]"),EntradasAC[[#This Row],[Código]],INDIRECT("TabelaEntradas[VC]"))</f>
        <v>#REF!</v>
      </c>
      <c r="D23" s="8" t="e">
        <f ca="1">SUMIF(INDIRECT("TabelaEntradas[AC]"),EntradasAC[[#This Row],[Código]],INDIRECT("TabelaEntradas[VC]"))</f>
        <v>#REF!</v>
      </c>
      <c r="E23" s="8" t="e">
        <f ca="1">SUMIF(INDIRECT("TabelaEntradas[AC]"),EntradasAC[[#This Row],[Código]],INDIRECT("TabelaEntradas[VLR-ICMS]"))</f>
        <v>#REF!</v>
      </c>
      <c r="F23" s="29"/>
      <c r="G23" s="29"/>
      <c r="H23" s="8" t="e">
        <f ca="1">SUMIF(INDIRECT("TabelaEntradas[AC]"),EntradasAC[[#This Row],[Código]],INDIRECT("TabelaEntradas[VLR_IPI]"))</f>
        <v>#REF!</v>
      </c>
      <c r="I23" s="8" t="e">
        <f ca="1">SUMIF(INDIRECT("TabelaEntradas[AC]"),EntradasAC[[#This Row],[Código]],INDIRECT("TabelaEntradas[BC-ICMS-ST]"))</f>
        <v>#REF!</v>
      </c>
      <c r="J23" s="8" t="e">
        <f ca="1">SUMIF(INDIRECT("TabelaEntradas[AC]"),EntradasAC[[#This Row],[Código]],INDIRECT("TabelaEntradas[ICMS-ST]"))</f>
        <v>#REF!</v>
      </c>
      <c r="K23" s="9" t="e">
        <f ca="1">EntradasAC[[#This Row],[Vlr ICMS]]</f>
        <v>#REF!</v>
      </c>
      <c r="L23" s="10"/>
      <c r="M23" s="8" t="s">
        <v>32</v>
      </c>
      <c r="N23" s="8" t="e">
        <f ca="1">EntradasAC[[#This Row],[Vlr ICMS]]-EntradasAC[[#This Row],[Estorno ]]</f>
        <v>#REF!</v>
      </c>
    </row>
    <row r="24" spans="1:14" x14ac:dyDescent="0.25">
      <c r="A24" s="30">
        <v>1200</v>
      </c>
      <c r="B24" s="31" t="s">
        <v>56</v>
      </c>
      <c r="C24" s="34" t="e">
        <f ca="1">SUMIF(INDIRECT("TabelaEntradas[AC]"),EntradasAC[[#This Row],[Código]],INDIRECT("TabelaEntradas[VC]"))</f>
        <v>#REF!</v>
      </c>
      <c r="D24" s="34" t="e">
        <f ca="1">SUMIF(INDIRECT("TabelaEntradas[AC]"),EntradasAC[[#This Row],[Código]],INDIRECT("TabelaEntradas[VC]"))</f>
        <v>#REF!</v>
      </c>
      <c r="E24" s="34" t="e">
        <f ca="1">SUMIF(INDIRECT("TabelaEntradas[AC]"),EntradasAC[[#This Row],[Código]],INDIRECT("TabelaEntradas[VLR-ICMS]"))</f>
        <v>#REF!</v>
      </c>
      <c r="F24" s="34"/>
      <c r="G24" s="34"/>
      <c r="H24" s="34" t="e">
        <f ca="1">SUMIF(INDIRECT("TabelaEntradas[AC]"),EntradasAC[[#This Row],[Código]],INDIRECT("TabelaEntradas[VLR_IPI]"))</f>
        <v>#REF!</v>
      </c>
      <c r="I24" s="34" t="e">
        <f ca="1">SUMIF(INDIRECT("TabelaEntradas[AC]"),EntradasAC[[#This Row],[Código]],INDIRECT("TabelaEntradas[BC-ICMS-ST]"))</f>
        <v>#REF!</v>
      </c>
      <c r="J24" s="34" t="e">
        <f ca="1">SUMIF(INDIRECT("TabelaEntradas[AC]"),EntradasAC[[#This Row],[Código]],INDIRECT("TabelaEntradas[ICMS-ST]"))</f>
        <v>#REF!</v>
      </c>
      <c r="K24" s="32" t="e">
        <f ca="1">EntradasAC[[#This Row],[Vlr ICMS]]-EntradasAC[[#This Row],[Base ICMS]]*3%</f>
        <v>#REF!</v>
      </c>
      <c r="L24" s="33" t="s">
        <v>57</v>
      </c>
      <c r="M24" s="34"/>
      <c r="N24" s="34" t="e">
        <f ca="1">EntradasAC[[#This Row],[Vlr ICMS]]-EntradasAC[[#This Row],[Estorno ]]</f>
        <v>#REF!</v>
      </c>
    </row>
    <row r="25" spans="1:14" x14ac:dyDescent="0.25">
      <c r="A25" s="11">
        <v>4110</v>
      </c>
      <c r="B25" s="7" t="s">
        <v>58</v>
      </c>
      <c r="C25" s="8" t="e">
        <f ca="1">SUMIF(INDIRECT("TabelaEntradas[AC]"),EntradasAC[[#This Row],[Código]],INDIRECT("TabelaEntradas[VC]"))</f>
        <v>#REF!</v>
      </c>
      <c r="D25" s="8" t="e">
        <f ca="1">SUMIF(INDIRECT("TabelaEntradas[AC]"),EntradasAC[[#This Row],[Código]],INDIRECT("TabelaEntradas[VC]"))</f>
        <v>#REF!</v>
      </c>
      <c r="E25" s="8" t="e">
        <f ca="1">SUMIF(INDIRECT("TabelaEntradas[AC]"),EntradasAC[[#This Row],[Código]],INDIRECT("TabelaEntradas[VLR-ICMS]"))</f>
        <v>#REF!</v>
      </c>
      <c r="F25" s="29"/>
      <c r="G25" s="29"/>
      <c r="H25" s="8" t="e">
        <f ca="1">SUMIF(INDIRECT("TabelaEntradas[AC]"),EntradasAC[[#This Row],[Código]],INDIRECT("TabelaEntradas[VLR_IPI]"))</f>
        <v>#REF!</v>
      </c>
      <c r="I25" s="8" t="e">
        <f ca="1">SUMIF(INDIRECT("TabelaEntradas[AC]"),EntradasAC[[#This Row],[Código]],INDIRECT("TabelaEntradas[BC-ICMS-ST]"))</f>
        <v>#REF!</v>
      </c>
      <c r="J25" s="8" t="e">
        <f ca="1">SUMIF(INDIRECT("TabelaEntradas[AC]"),EntradasAC[[#This Row],[Código]],INDIRECT("TabelaEntradas[ICMS-ST]"))</f>
        <v>#REF!</v>
      </c>
      <c r="K25" s="9" t="e">
        <f ca="1">EntradasAC[[#This Row],[Vlr ICMS]]</f>
        <v>#REF!</v>
      </c>
      <c r="L25" s="10"/>
      <c r="M25" s="8" t="s">
        <v>32</v>
      </c>
      <c r="N25" s="8" t="e">
        <f ca="1">EntradasAC[[#This Row],[Vlr ICMS]]-EntradasAC[[#This Row],[Estorno ]]</f>
        <v>#REF!</v>
      </c>
    </row>
    <row r="26" spans="1:14" x14ac:dyDescent="0.25">
      <c r="A26" s="11">
        <v>452</v>
      </c>
      <c r="B26" s="7" t="s">
        <v>59</v>
      </c>
      <c r="C26" s="8" t="e">
        <f ca="1">SUMIF(INDIRECT("TabelaEntradas[AC]"),EntradasAC[[#This Row],[Código]],INDIRECT("TabelaEntradas[VC]"))</f>
        <v>#REF!</v>
      </c>
      <c r="D26" s="8" t="e">
        <f ca="1">SUMIF(INDIRECT("TabelaEntradas[AC]"),EntradasAC[[#This Row],[Código]],INDIRECT("TabelaEntradas[VC]"))</f>
        <v>#REF!</v>
      </c>
      <c r="E26" s="8" t="e">
        <f ca="1">SUMIF(INDIRECT("TabelaEntradas[AC]"),EntradasAC[[#This Row],[Código]],INDIRECT("TabelaEntradas[VLR-ICMS]"))</f>
        <v>#REF!</v>
      </c>
      <c r="F26" s="29"/>
      <c r="G26" s="29"/>
      <c r="H26" s="8" t="e">
        <f ca="1">SUMIF(INDIRECT("TabelaEntradas[AC]"),EntradasAC[[#This Row],[Código]],INDIRECT("TabelaEntradas[VLR_IPI]"))</f>
        <v>#REF!</v>
      </c>
      <c r="I26" s="8" t="e">
        <f ca="1">SUMIF(INDIRECT("TabelaEntradas[AC]"),EntradasAC[[#This Row],[Código]],INDIRECT("TabelaEntradas[BC-ICMS-ST]"))</f>
        <v>#REF!</v>
      </c>
      <c r="J26" s="8" t="e">
        <f ca="1">SUMIF(INDIRECT("TabelaEntradas[AC]"),EntradasAC[[#This Row],[Código]],INDIRECT("TabelaEntradas[ICMS-ST]"))</f>
        <v>#REF!</v>
      </c>
      <c r="K26" s="9" t="e">
        <f ca="1">EntradasAC[[#This Row],[Vlr ICMS]]</f>
        <v>#REF!</v>
      </c>
      <c r="L26" s="10"/>
      <c r="M26" s="8" t="s">
        <v>32</v>
      </c>
      <c r="N26" s="8" t="e">
        <f ca="1">EntradasAC[[#This Row],[Vlr ICMS]]-EntradasAC[[#This Row],[Estorno ]]</f>
        <v>#REF!</v>
      </c>
    </row>
    <row r="27" spans="1:14" x14ac:dyDescent="0.25">
      <c r="A27" s="11">
        <v>455</v>
      </c>
      <c r="B27" s="7" t="s">
        <v>60</v>
      </c>
      <c r="C27" s="8" t="e">
        <f ca="1">SUMIF(INDIRECT("TabelaEntradas[AC]"),EntradasAC[[#This Row],[Código]],INDIRECT("TabelaEntradas[VC]"))</f>
        <v>#REF!</v>
      </c>
      <c r="D27" s="8" t="e">
        <f ca="1">SUMIF(INDIRECT("TabelaEntradas[AC]"),EntradasAC[[#This Row],[Código]],INDIRECT("TabelaEntradas[VC]"))</f>
        <v>#REF!</v>
      </c>
      <c r="E27" s="8" t="e">
        <f ca="1">SUMIF(INDIRECT("TabelaEntradas[AC]"),EntradasAC[[#This Row],[Código]],INDIRECT("TabelaEntradas[VLR-ICMS]"))</f>
        <v>#REF!</v>
      </c>
      <c r="F27" s="29"/>
      <c r="G27" s="29"/>
      <c r="H27" s="8" t="e">
        <f ca="1">SUMIF(INDIRECT("TabelaEntradas[AC]"),EntradasAC[[#This Row],[Código]],INDIRECT("TabelaEntradas[VLR_IPI]"))</f>
        <v>#REF!</v>
      </c>
      <c r="I27" s="8" t="e">
        <f ca="1">SUMIF(INDIRECT("TabelaEntradas[AC]"),EntradasAC[[#This Row],[Código]],INDIRECT("TabelaEntradas[BC-ICMS-ST]"))</f>
        <v>#REF!</v>
      </c>
      <c r="J27" s="8" t="e">
        <f ca="1">SUMIF(INDIRECT("TabelaEntradas[AC]"),EntradasAC[[#This Row],[Código]],INDIRECT("TabelaEntradas[ICMS-ST]"))</f>
        <v>#REF!</v>
      </c>
      <c r="K27" s="9" t="e">
        <f ca="1">EntradasAC[[#This Row],[Vlr ICMS]]</f>
        <v>#REF!</v>
      </c>
      <c r="L27" s="10"/>
      <c r="M27" s="8"/>
      <c r="N27" s="8" t="e">
        <f ca="1">EntradasAC[[#This Row],[Vlr ICMS]]-EntradasAC[[#This Row],[Estorno ]]</f>
        <v>#REF!</v>
      </c>
    </row>
    <row r="28" spans="1:14" x14ac:dyDescent="0.25">
      <c r="A28" s="11">
        <v>4052</v>
      </c>
      <c r="B28" s="7" t="s">
        <v>61</v>
      </c>
      <c r="C28" s="8" t="e">
        <f ca="1">SUMIF(INDIRECT("TabelaEntradas[AC]"),EntradasAC[[#This Row],[Código]],INDIRECT("TabelaEntradas[VC]"))</f>
        <v>#REF!</v>
      </c>
      <c r="D28" s="8" t="e">
        <f ca="1">SUMIF(INDIRECT("TabelaEntradas[AC]"),EntradasAC[[#This Row],[Código]],INDIRECT("TabelaEntradas[VC]"))</f>
        <v>#REF!</v>
      </c>
      <c r="E28" s="8" t="e">
        <f ca="1">SUMIF(INDIRECT("TabelaEntradas[AC]"),EntradasAC[[#This Row],[Código]],INDIRECT("TabelaEntradas[VLR-ICMS]"))</f>
        <v>#REF!</v>
      </c>
      <c r="F28" s="29"/>
      <c r="G28" s="29"/>
      <c r="H28" s="8" t="e">
        <f ca="1">SUMIF(INDIRECT("TabelaEntradas[AC]"),EntradasAC[[#This Row],[Código]],INDIRECT("TabelaEntradas[VLR_IPI]"))</f>
        <v>#REF!</v>
      </c>
      <c r="I28" s="8" t="e">
        <f ca="1">SUMIF(INDIRECT("TabelaEntradas[AC]"),EntradasAC[[#This Row],[Código]],INDIRECT("TabelaEntradas[BC-ICMS-ST]"))</f>
        <v>#REF!</v>
      </c>
      <c r="J28" s="8" t="e">
        <f ca="1">SUMIF(INDIRECT("TabelaEntradas[AC]"),EntradasAC[[#This Row],[Código]],INDIRECT("TabelaEntradas[ICMS-ST]"))</f>
        <v>#REF!</v>
      </c>
      <c r="K28" s="9" t="e">
        <f ca="1">EntradasAC[[#This Row],[Vlr ICMS]]</f>
        <v>#REF!</v>
      </c>
      <c r="L28" s="10"/>
      <c r="M28" s="8" t="s">
        <v>38</v>
      </c>
      <c r="N28" s="8" t="e">
        <f ca="1">EntradasAC[[#This Row],[Vlr ICMS]]-EntradasAC[[#This Row],[Estorno ]]</f>
        <v>#REF!</v>
      </c>
    </row>
    <row r="29" spans="1:14" x14ac:dyDescent="0.25">
      <c r="A29" s="30">
        <v>4100</v>
      </c>
      <c r="B29" s="31" t="s">
        <v>62</v>
      </c>
      <c r="C29" s="34" t="e">
        <f ca="1">SUMIF(INDIRECT("TabelaEntradas[AC]"),EntradasAC[[#This Row],[Código]],INDIRECT("TabelaEntradas[VC]"))</f>
        <v>#REF!</v>
      </c>
      <c r="D29" s="34" t="e">
        <f ca="1">SUMIF(INDIRECT("TabelaEntradas[AC]"),EntradasAC[[#This Row],[Código]],INDIRECT("TabelaEntradas[VC]"))</f>
        <v>#REF!</v>
      </c>
      <c r="E29" s="34" t="e">
        <f ca="1">SUMIF(INDIRECT("TabelaEntradas[AC]"),EntradasAC[[#This Row],[Código]],INDIRECT("TabelaEntradas[VLR-ICMS]"))</f>
        <v>#REF!</v>
      </c>
      <c r="F29" s="34"/>
      <c r="G29" s="34"/>
      <c r="H29" s="34" t="e">
        <f ca="1">SUMIF(INDIRECT("TabelaEntradas[AC]"),EntradasAC[[#This Row],[Código]],INDIRECT("TabelaEntradas[VLR_IPI]"))</f>
        <v>#REF!</v>
      </c>
      <c r="I29" s="34" t="e">
        <f ca="1">SUMIF(INDIRECT("TabelaEntradas[AC]"),EntradasAC[[#This Row],[Código]],INDIRECT("TabelaEntradas[BC-ICMS-ST]"))</f>
        <v>#REF!</v>
      </c>
      <c r="J29" s="34" t="e">
        <f ca="1">SUMIF(INDIRECT("TabelaEntradas[AC]"),EntradasAC[[#This Row],[Código]],INDIRECT("TabelaEntradas[ICMS-ST]"))</f>
        <v>#REF!</v>
      </c>
      <c r="K29" s="32" t="e">
        <f ca="1">EntradasAC[[#This Row],[Vlr ICMS]]-EntradasAC[[#This Row],[Base ICMS]]*3%</f>
        <v>#REF!</v>
      </c>
      <c r="L29" s="33" t="s">
        <v>57</v>
      </c>
      <c r="M29" s="34"/>
      <c r="N29" s="34" t="e">
        <f ca="1">EntradasAC[[#This Row],[Vlr ICMS]]-EntradasAC[[#This Row],[Estorno ]]</f>
        <v>#REF!</v>
      </c>
    </row>
    <row r="30" spans="1:14" x14ac:dyDescent="0.25">
      <c r="A30" s="6" t="s">
        <v>63</v>
      </c>
      <c r="B30" s="7" t="s">
        <v>64</v>
      </c>
      <c r="C30" s="8" t="e">
        <f ca="1">SUMIF(INDIRECT("TabelaEntradas[AC]"),EntradasAC[[#This Row],[Código]],INDIRECT("TabelaEntradas[VC]"))</f>
        <v>#REF!</v>
      </c>
      <c r="D30" s="8" t="e">
        <f ca="1">SUMIF(INDIRECT("TabelaEntradas[AC]"),EntradasAC[[#This Row],[Código]],INDIRECT("TabelaEntradas[VC]"))</f>
        <v>#REF!</v>
      </c>
      <c r="E30" s="8" t="e">
        <f ca="1">SUMIF(INDIRECT("TabelaEntradas[AC]"),EntradasAC[[#This Row],[Código]],INDIRECT("TabelaEntradas[VLR-ICMS]"))</f>
        <v>#REF!</v>
      </c>
      <c r="F30" s="29"/>
      <c r="G30" s="29"/>
      <c r="H30" s="8" t="e">
        <f ca="1">SUMIF(INDIRECT("TabelaEntradas[AC]"),EntradasAC[[#This Row],[Código]],INDIRECT("TabelaEntradas[VLR_IPI]"))</f>
        <v>#REF!</v>
      </c>
      <c r="I30" s="8" t="e">
        <f ca="1">SUMIF(INDIRECT("TabelaEntradas[AC]"),EntradasAC[[#This Row],[Código]],INDIRECT("TabelaEntradas[BC-ICMS-ST]"))</f>
        <v>#REF!</v>
      </c>
      <c r="J30" s="8" t="e">
        <f ca="1">SUMIF(INDIRECT("TabelaEntradas[AC]"),EntradasAC[[#This Row],[Código]],INDIRECT("TabelaEntradas[ICMS-ST]"))</f>
        <v>#REF!</v>
      </c>
      <c r="K30" s="9" t="e">
        <f ca="1">EntradasAC[[#This Row],[Vlr ICMS]]</f>
        <v>#REF!</v>
      </c>
      <c r="L30" s="10"/>
      <c r="M30" s="8" t="s">
        <v>32</v>
      </c>
      <c r="N30" s="8" t="e">
        <f ca="1">EntradasAC[[#This Row],[Vlr ICMS]]-EntradasAC[[#This Row],[Estorno ]]</f>
        <v>#REF!</v>
      </c>
    </row>
    <row r="31" spans="1:14" x14ac:dyDescent="0.25">
      <c r="A31" s="6" t="s">
        <v>65</v>
      </c>
      <c r="B31" s="7" t="s">
        <v>56</v>
      </c>
      <c r="C31" s="8" t="e">
        <f ca="1">SUMIF(INDIRECT("TabelaEntradas[AC]"),EntradasAC[[#This Row],[Código]],INDIRECT("TabelaEntradas[VC]"))</f>
        <v>#REF!</v>
      </c>
      <c r="D31" s="8" t="e">
        <f ca="1">SUMIF(INDIRECT("TabelaEntradas[AC]"),EntradasAC[[#This Row],[Código]],INDIRECT("TabelaEntradas[VC]"))</f>
        <v>#REF!</v>
      </c>
      <c r="E31" s="8" t="e">
        <f ca="1">SUMIF(INDIRECT("TabelaEntradas[AC]"),EntradasAC[[#This Row],[Código]],INDIRECT("TabelaEntradas[VLR-ICMS]"))</f>
        <v>#REF!</v>
      </c>
      <c r="F31" s="29"/>
      <c r="G31" s="29"/>
      <c r="H31" s="8" t="e">
        <f ca="1">SUMIF(INDIRECT("TabelaEntradas[AC]"),EntradasAC[[#This Row],[Código]],INDIRECT("TabelaEntradas[VLR_IPI]"))</f>
        <v>#REF!</v>
      </c>
      <c r="I31" s="8" t="e">
        <f ca="1">SUMIF(INDIRECT("TabelaEntradas[AC]"),EntradasAC[[#This Row],[Código]],INDIRECT("TabelaEntradas[BC-ICMS-ST]"))</f>
        <v>#REF!</v>
      </c>
      <c r="J31" s="8" t="e">
        <f ca="1">SUMIF(INDIRECT("TabelaEntradas[AC]"),EntradasAC[[#This Row],[Código]],INDIRECT("TabelaEntradas[ICMS-ST]"))</f>
        <v>#REF!</v>
      </c>
      <c r="K31" s="9" t="e">
        <f ca="1">EntradasAC[[#This Row],[Vlr ICMS]]</f>
        <v>#REF!</v>
      </c>
      <c r="L31" s="10"/>
      <c r="M31" s="8" t="s">
        <v>32</v>
      </c>
      <c r="N31" s="8" t="e">
        <f ca="1">EntradasAC[[#This Row],[Vlr ICMS]]-EntradasAC[[#This Row],[Estorno ]]</f>
        <v>#REF!</v>
      </c>
    </row>
    <row r="32" spans="1:14" x14ac:dyDescent="0.25">
      <c r="A32" s="6" t="s">
        <v>66</v>
      </c>
      <c r="B32" s="7" t="s">
        <v>67</v>
      </c>
      <c r="C32" s="8" t="e">
        <f ca="1">SUMIF(INDIRECT("TabelaEntradas[AC]"),EntradasAC[[#This Row],[Código]],INDIRECT("TabelaEntradas[VC]"))</f>
        <v>#REF!</v>
      </c>
      <c r="D32" s="8" t="e">
        <f ca="1">SUMIF(INDIRECT("TabelaEntradas[AC]"),EntradasAC[[#This Row],[Código]],INDIRECT("TabelaEntradas[VC]"))</f>
        <v>#REF!</v>
      </c>
      <c r="E32" s="8" t="e">
        <f ca="1">SUMIF(INDIRECT("TabelaEntradas[AC]"),EntradasAC[[#This Row],[Código]],INDIRECT("TabelaEntradas[VLR-ICMS]"))</f>
        <v>#REF!</v>
      </c>
      <c r="F32" s="29"/>
      <c r="G32" s="29"/>
      <c r="H32" s="8" t="e">
        <f ca="1">SUMIF(INDIRECT("TabelaEntradas[AC]"),EntradasAC[[#This Row],[Código]],INDIRECT("TabelaEntradas[VLR_IPI]"))</f>
        <v>#REF!</v>
      </c>
      <c r="I32" s="8" t="e">
        <f ca="1">SUMIF(INDIRECT("TabelaEntradas[AC]"),EntradasAC[[#This Row],[Código]],INDIRECT("TabelaEntradas[BC-ICMS-ST]"))</f>
        <v>#REF!</v>
      </c>
      <c r="J32" s="8" t="e">
        <f ca="1">SUMIF(INDIRECT("TabelaEntradas[AC]"),EntradasAC[[#This Row],[Código]],INDIRECT("TabelaEntradas[ICMS-ST]"))</f>
        <v>#REF!</v>
      </c>
      <c r="K32" s="9" t="e">
        <f ca="1">EntradasAC[[#This Row],[Vlr ICMS]]</f>
        <v>#REF!</v>
      </c>
      <c r="L32" s="10"/>
      <c r="M32" s="8" t="s">
        <v>32</v>
      </c>
      <c r="N32" s="8" t="e">
        <f ca="1">EntradasAC[[#This Row],[Vlr ICMS]]-EntradasAC[[#This Row],[Estorno ]]</f>
        <v>#REF!</v>
      </c>
    </row>
    <row r="33" spans="1:14" x14ac:dyDescent="0.25">
      <c r="A33" s="6">
        <v>1564</v>
      </c>
      <c r="B33" s="7" t="s">
        <v>68</v>
      </c>
      <c r="C33" s="8" t="e">
        <f ca="1">SUMIF(INDIRECT("TabelaEntradas[AC]"),EntradasAC[[#This Row],[Código]],INDIRECT("TabelaEntradas[VC]"))</f>
        <v>#REF!</v>
      </c>
      <c r="D33" s="8" t="e">
        <f ca="1">SUMIF(INDIRECT("TabelaEntradas[AC]"),EntradasAC[[#This Row],[Código]],INDIRECT("TabelaEntradas[VC]"))</f>
        <v>#REF!</v>
      </c>
      <c r="E33" s="8" t="e">
        <f ca="1">SUMIF(INDIRECT("TabelaEntradas[AC]"),EntradasAC[[#This Row],[Código]],INDIRECT("TabelaEntradas[VLR-ICMS]"))</f>
        <v>#REF!</v>
      </c>
      <c r="F33" s="29"/>
      <c r="G33" s="29"/>
      <c r="H33" s="8" t="e">
        <f ca="1">SUMIF(INDIRECT("TabelaEntradas[AC]"),EntradasAC[[#This Row],[Código]],INDIRECT("TabelaEntradas[VLR_IPI]"))</f>
        <v>#REF!</v>
      </c>
      <c r="I33" s="8" t="e">
        <f ca="1">SUMIF(INDIRECT("TabelaEntradas[AC]"),EntradasAC[[#This Row],[Código]],INDIRECT("TabelaEntradas[BC-ICMS-ST]"))</f>
        <v>#REF!</v>
      </c>
      <c r="J33" s="8" t="e">
        <f ca="1">SUMIF(INDIRECT("TabelaEntradas[AC]"),EntradasAC[[#This Row],[Código]],INDIRECT("TabelaEntradas[ICMS-ST]"))</f>
        <v>#REF!</v>
      </c>
      <c r="K33" s="9" t="e">
        <f ca="1">EntradasAC[[#This Row],[Vlr ICMS]]</f>
        <v>#REF!</v>
      </c>
      <c r="L33" s="10"/>
      <c r="M33" s="8" t="s">
        <v>32</v>
      </c>
      <c r="N33" s="8" t="e">
        <f ca="1">EntradasAC[[#This Row],[Vlr ICMS]]-EntradasAC[[#This Row],[Estorno ]]</f>
        <v>#REF!</v>
      </c>
    </row>
    <row r="34" spans="1:14" x14ac:dyDescent="0.25">
      <c r="A34" s="6" t="s">
        <v>69</v>
      </c>
      <c r="B34" s="7" t="s">
        <v>70</v>
      </c>
      <c r="C34" s="8" t="e">
        <f ca="1">SUMIF(INDIRECT("TabelaEntradas[AC]"),EntradasAC[[#This Row],[Código]],INDIRECT("TabelaEntradas[VC]"))</f>
        <v>#REF!</v>
      </c>
      <c r="D34" s="8" t="e">
        <f ca="1">SUMIF(INDIRECT("TabelaEntradas[AC]"),EntradasAC[[#This Row],[Código]],INDIRECT("TabelaEntradas[VC]"))</f>
        <v>#REF!</v>
      </c>
      <c r="E34" s="8" t="e">
        <f ca="1">SUMIF(INDIRECT("TabelaEntradas[AC]"),EntradasAC[[#This Row],[Código]],INDIRECT("TabelaEntradas[VLR-ICMS]"))</f>
        <v>#REF!</v>
      </c>
      <c r="F34" s="29"/>
      <c r="G34" s="29"/>
      <c r="H34" s="8" t="e">
        <f ca="1">SUMIF(INDIRECT("TabelaEntradas[AC]"),EntradasAC[[#This Row],[Código]],INDIRECT("TabelaEntradas[VLR_IPI]"))</f>
        <v>#REF!</v>
      </c>
      <c r="I34" s="8" t="e">
        <f ca="1">SUMIF(INDIRECT("TabelaEntradas[AC]"),EntradasAC[[#This Row],[Código]],INDIRECT("TabelaEntradas[BC-ICMS-ST]"))</f>
        <v>#REF!</v>
      </c>
      <c r="J34" s="8" t="e">
        <f ca="1">SUMIF(INDIRECT("TabelaEntradas[AC]"),EntradasAC[[#This Row],[Código]],INDIRECT("TabelaEntradas[ICMS-ST]"))</f>
        <v>#REF!</v>
      </c>
      <c r="K34" s="9" t="e">
        <f ca="1">EntradasAC[[#This Row],[Vlr ICMS]]</f>
        <v>#REF!</v>
      </c>
      <c r="L34" s="10"/>
      <c r="M34" s="8"/>
      <c r="N34" s="8" t="e">
        <f ca="1">EntradasAC[[#This Row],[Vlr ICMS]]-EntradasAC[[#This Row],[Estorno ]]</f>
        <v>#REF!</v>
      </c>
    </row>
    <row r="35" spans="1:14" x14ac:dyDescent="0.25">
      <c r="A35" s="6" t="s">
        <v>71</v>
      </c>
      <c r="B35" s="7" t="s">
        <v>72</v>
      </c>
      <c r="C35" s="8" t="e">
        <f ca="1">SUMIF(INDIRECT("TabelaEntradas[AC]"),EntradasAC[[#This Row],[Código]],INDIRECT("TabelaEntradas[VC]"))</f>
        <v>#REF!</v>
      </c>
      <c r="D35" s="8" t="e">
        <f ca="1">SUMIF(INDIRECT("TabelaEntradas[AC]"),EntradasAC[[#This Row],[Código]],INDIRECT("TabelaEntradas[VC]"))</f>
        <v>#REF!</v>
      </c>
      <c r="E35" s="8" t="e">
        <f ca="1">SUMIF(INDIRECT("TabelaEntradas[AC]"),EntradasAC[[#This Row],[Código]],INDIRECT("TabelaEntradas[VLR-ICMS]"))</f>
        <v>#REF!</v>
      </c>
      <c r="F35" s="29"/>
      <c r="G35" s="29"/>
      <c r="H35" s="8" t="e">
        <f ca="1">SUMIF(INDIRECT("TabelaEntradas[AC]"),EntradasAC[[#This Row],[Código]],INDIRECT("TabelaEntradas[VLR_IPI]"))</f>
        <v>#REF!</v>
      </c>
      <c r="I35" s="8" t="e">
        <f ca="1">SUMIF(INDIRECT("TabelaEntradas[AC]"),EntradasAC[[#This Row],[Código]],INDIRECT("TabelaEntradas[BC-ICMS-ST]"))</f>
        <v>#REF!</v>
      </c>
      <c r="J35" s="8" t="e">
        <f ca="1">SUMIF(INDIRECT("TabelaEntradas[AC]"),EntradasAC[[#This Row],[Código]],INDIRECT("TabelaEntradas[ICMS-ST]"))</f>
        <v>#REF!</v>
      </c>
      <c r="K35" s="9" t="e">
        <f ca="1">EntradasAC[[#This Row],[Vlr ICMS]]</f>
        <v>#REF!</v>
      </c>
      <c r="L35" s="10"/>
      <c r="M35" s="8" t="s">
        <v>32</v>
      </c>
      <c r="N35" s="8" t="e">
        <f ca="1">EntradasAC[[#This Row],[Vlr ICMS]]-EntradasAC[[#This Row],[Estorno ]]</f>
        <v>#REF!</v>
      </c>
    </row>
    <row r="36" spans="1:14" s="14" customFormat="1" x14ac:dyDescent="0.25">
      <c r="A36" s="6">
        <v>2560</v>
      </c>
      <c r="B36" s="7" t="s">
        <v>73</v>
      </c>
      <c r="C36" s="8" t="e">
        <f ca="1">SUMIF(INDIRECT("TabelaEntradas[AC]"),EntradasAC[[#This Row],[Código]],INDIRECT("TabelaEntradas[VC]"))</f>
        <v>#REF!</v>
      </c>
      <c r="D36" s="8" t="e">
        <f ca="1">SUMIF(INDIRECT("TabelaEntradas[AC]"),EntradasAC[[#This Row],[Código]],INDIRECT("TabelaEntradas[VC]"))</f>
        <v>#REF!</v>
      </c>
      <c r="E36" s="8" t="e">
        <f ca="1">SUMIF(INDIRECT("TabelaEntradas[AC]"),EntradasAC[[#This Row],[Código]],INDIRECT("TabelaEntradas[VLR-ICMS]"))</f>
        <v>#REF!</v>
      </c>
      <c r="F36" s="29"/>
      <c r="G36" s="29"/>
      <c r="H36" s="8" t="e">
        <f ca="1">SUMIF(INDIRECT("TabelaEntradas[AC]"),EntradasAC[[#This Row],[Código]],INDIRECT("TabelaEntradas[VLR_IPI]"))</f>
        <v>#REF!</v>
      </c>
      <c r="I36" s="8" t="e">
        <f ca="1">SUMIF(INDIRECT("TabelaEntradas[AC]"),EntradasAC[[#This Row],[Código]],INDIRECT("TabelaEntradas[BC-ICMS-ST]"))</f>
        <v>#REF!</v>
      </c>
      <c r="J36" s="8" t="e">
        <f ca="1">SUMIF(INDIRECT("TabelaEntradas[AC]"),EntradasAC[[#This Row],[Código]],INDIRECT("TabelaEntradas[ICMS-ST]"))</f>
        <v>#REF!</v>
      </c>
      <c r="K36" s="9" t="e">
        <f ca="1">EntradasAC[[#This Row],[Vlr ICMS]]</f>
        <v>#REF!</v>
      </c>
      <c r="L36" s="10"/>
      <c r="M36" s="8" t="s">
        <v>32</v>
      </c>
      <c r="N36" s="8" t="e">
        <f ca="1">EntradasAC[[#This Row],[Vlr ICMS]]-EntradasAC[[#This Row],[Estorno ]]</f>
        <v>#REF!</v>
      </c>
    </row>
    <row r="37" spans="1:14" x14ac:dyDescent="0.25">
      <c r="A37" s="6">
        <v>2564</v>
      </c>
      <c r="B37" s="7" t="s">
        <v>74</v>
      </c>
      <c r="C37" s="8" t="e">
        <f ca="1">SUMIF(INDIRECT("TabelaEntradas[AC]"),EntradasAC[[#This Row],[Código]],INDIRECT("TabelaEntradas[VC]"))</f>
        <v>#REF!</v>
      </c>
      <c r="D37" s="8" t="e">
        <f ca="1">SUMIF(INDIRECT("TabelaEntradas[AC]"),EntradasAC[[#This Row],[Código]],INDIRECT("TabelaEntradas[VC]"))</f>
        <v>#REF!</v>
      </c>
      <c r="E37" s="8" t="e">
        <f ca="1">SUMIF(INDIRECT("TabelaEntradas[AC]"),EntradasAC[[#This Row],[Código]],INDIRECT("TabelaEntradas[VLR-ICMS]"))</f>
        <v>#REF!</v>
      </c>
      <c r="F37" s="29"/>
      <c r="G37" s="29"/>
      <c r="H37" s="8" t="e">
        <f ca="1">SUMIF(INDIRECT("TabelaEntradas[AC]"),EntradasAC[[#This Row],[Código]],INDIRECT("TabelaEntradas[VLR_IPI]"))</f>
        <v>#REF!</v>
      </c>
      <c r="I37" s="8" t="e">
        <f ca="1">SUMIF(INDIRECT("TabelaEntradas[AC]"),EntradasAC[[#This Row],[Código]],INDIRECT("TabelaEntradas[BC-ICMS-ST]"))</f>
        <v>#REF!</v>
      </c>
      <c r="J37" s="8" t="e">
        <f ca="1">SUMIF(INDIRECT("TabelaEntradas[AC]"),EntradasAC[[#This Row],[Código]],INDIRECT("TabelaEntradas[ICMS-ST]"))</f>
        <v>#REF!</v>
      </c>
      <c r="K37" s="9" t="e">
        <f ca="1">EntradasAC[[#This Row],[Vlr ICMS]]</f>
        <v>#REF!</v>
      </c>
      <c r="L37" s="16"/>
      <c r="M37" s="8" t="s">
        <v>32</v>
      </c>
      <c r="N37" s="8" t="e">
        <f ca="1">EntradasAC[[#This Row],[Vlr ICMS]]-EntradasAC[[#This Row],[Estorno ]]</f>
        <v>#REF!</v>
      </c>
    </row>
    <row r="38" spans="1:14" x14ac:dyDescent="0.25">
      <c r="A38" s="6">
        <v>2568</v>
      </c>
      <c r="B38" s="7" t="s">
        <v>75</v>
      </c>
      <c r="C38" s="8" t="e">
        <f ca="1">SUMIF(INDIRECT("TabelaEntradas[AC]"),EntradasAC[[#This Row],[Código]],INDIRECT("TabelaEntradas[VC]"))</f>
        <v>#REF!</v>
      </c>
      <c r="D38" s="8" t="e">
        <f ca="1">SUMIF(INDIRECT("TabelaEntradas[AC]"),EntradasAC[[#This Row],[Código]],INDIRECT("TabelaEntradas[VC]"))</f>
        <v>#REF!</v>
      </c>
      <c r="E38" s="8" t="e">
        <f ca="1">SUMIF(INDIRECT("TabelaEntradas[AC]"),EntradasAC[[#This Row],[Código]],INDIRECT("TabelaEntradas[VLR-ICMS]"))</f>
        <v>#REF!</v>
      </c>
      <c r="F38" s="29"/>
      <c r="G38" s="29"/>
      <c r="H38" s="8" t="e">
        <f ca="1">SUMIF(INDIRECT("TabelaEntradas[AC]"),EntradasAC[[#This Row],[Código]],INDIRECT("TabelaEntradas[VLR_IPI]"))</f>
        <v>#REF!</v>
      </c>
      <c r="I38" s="8" t="e">
        <f ca="1">SUMIF(INDIRECT("TabelaEntradas[AC]"),EntradasAC[[#This Row],[Código]],INDIRECT("TabelaEntradas[BC-ICMS-ST]"))</f>
        <v>#REF!</v>
      </c>
      <c r="J38" s="8" t="e">
        <f ca="1">SUMIF(INDIRECT("TabelaEntradas[AC]"),EntradasAC[[#This Row],[Código]],INDIRECT("TabelaEntradas[ICMS-ST]"))</f>
        <v>#REF!</v>
      </c>
      <c r="K38" s="9" t="e">
        <f ca="1">EntradasAC[[#This Row],[Vlr ICMS]]</f>
        <v>#REF!</v>
      </c>
      <c r="L38" s="16"/>
      <c r="M38" s="8" t="s">
        <v>32</v>
      </c>
      <c r="N38" s="8" t="e">
        <f ca="1">EntradasAC[[#This Row],[Vlr ICMS]]-EntradasAC[[#This Row],[Estorno ]]</f>
        <v>#REF!</v>
      </c>
    </row>
    <row r="39" spans="1:14" x14ac:dyDescent="0.25">
      <c r="A39" s="11" t="s">
        <v>76</v>
      </c>
      <c r="B39" s="17"/>
      <c r="C39" s="8" t="e">
        <f ca="1">SUBTOTAL(109,EntradasAC[Vlr Contábil])</f>
        <v>#REF!</v>
      </c>
      <c r="D39" s="15" t="e">
        <f ca="1">SUBTOTAL(109,EntradasAC[Base ICMS])</f>
        <v>#REF!</v>
      </c>
      <c r="E39" s="18" t="e">
        <f ca="1">SUBTOTAL(109,EntradasAC[Vlr ICMS])</f>
        <v>#REF!</v>
      </c>
      <c r="F39" s="15">
        <f>SUBTOTAL(109,EntradasAC[Isentas ICMS])</f>
        <v>0</v>
      </c>
      <c r="G39" s="15">
        <f>SUBTOTAL(109,EntradasAC[Outras ICMS])</f>
        <v>0</v>
      </c>
      <c r="H39" s="8" t="e">
        <f ca="1">SUBTOTAL(109,EntradasAC[Vlr IPI])</f>
        <v>#REF!</v>
      </c>
      <c r="I39" s="8" t="e">
        <f ca="1">SUBTOTAL(109,EntradasAC[BC ICMS ST])</f>
        <v>#REF!</v>
      </c>
      <c r="J39" s="8" t="e">
        <f ca="1">SUBTOTAL(109,EntradasAC[Vlr ICMS ST])</f>
        <v>#REF!</v>
      </c>
      <c r="K39" s="19" t="e">
        <f ca="1">SUM(EntradasAC[[Estorno ]])-K24-K29</f>
        <v>#REF!</v>
      </c>
      <c r="L39" s="20"/>
      <c r="M39" s="8"/>
      <c r="N39" s="21" t="e">
        <f ca="1">SUBTOTAL(109,EntradasAC[ESTORNO DEV])</f>
        <v>#REF!</v>
      </c>
    </row>
    <row r="41" spans="1:14" x14ac:dyDescent="0.25">
      <c r="K41" s="24"/>
    </row>
    <row r="42" spans="1:14" x14ac:dyDescent="0.25">
      <c r="K42" s="24"/>
    </row>
    <row r="43" spans="1:14" x14ac:dyDescent="0.25">
      <c r="F43" s="26"/>
      <c r="G43" s="26"/>
      <c r="K43" s="24"/>
    </row>
    <row r="44" spans="1:14" x14ac:dyDescent="0.25">
      <c r="D44" s="24"/>
      <c r="G44" s="27"/>
    </row>
    <row r="55" spans="9:10" x14ac:dyDescent="0.25">
      <c r="I55" s="26"/>
    </row>
    <row r="56" spans="9:10" x14ac:dyDescent="0.25">
      <c r="I56" s="26"/>
      <c r="J56" s="2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FB5B-905C-4E7E-A14D-7787458545F1}">
  <dimension ref="A1:M76"/>
  <sheetViews>
    <sheetView tabSelected="1" workbookViewId="0">
      <selection activeCell="J60" sqref="J60"/>
    </sheetView>
  </sheetViews>
  <sheetFormatPr defaultRowHeight="15" x14ac:dyDescent="0.25"/>
  <cols>
    <col min="1" max="1" width="30.140625" customWidth="1"/>
    <col min="2" max="2" width="2.85546875" bestFit="1" customWidth="1"/>
    <col min="3" max="3" width="42.28515625" bestFit="1" customWidth="1"/>
    <col min="4" max="4" width="15.28515625" bestFit="1" customWidth="1"/>
    <col min="5" max="5" width="14.42578125" bestFit="1" customWidth="1"/>
    <col min="6" max="6" width="12.85546875" bestFit="1" customWidth="1"/>
    <col min="7" max="7" width="13.5703125" bestFit="1" customWidth="1"/>
    <col min="8" max="8" width="12.7109375" bestFit="1" customWidth="1"/>
    <col min="9" max="9" width="14.140625" bestFit="1" customWidth="1"/>
    <col min="10" max="10" width="13.5703125" bestFit="1" customWidth="1"/>
    <col min="11" max="11" width="15.85546875" bestFit="1" customWidth="1"/>
    <col min="12" max="12" width="14.42578125" bestFit="1" customWidth="1"/>
    <col min="13" max="13" width="5.5703125" bestFit="1" customWidth="1"/>
  </cols>
  <sheetData>
    <row r="1" spans="1:13" ht="15.75" thickBot="1" x14ac:dyDescent="0.3">
      <c r="A1" s="117" t="s">
        <v>77</v>
      </c>
      <c r="B1" s="118"/>
      <c r="C1" s="118"/>
      <c r="D1" s="118"/>
      <c r="E1" s="118"/>
      <c r="F1" s="118"/>
      <c r="G1" s="118"/>
      <c r="H1" s="118"/>
      <c r="I1" s="119"/>
      <c r="J1" s="35"/>
      <c r="K1" s="35"/>
      <c r="L1" s="35"/>
      <c r="M1" s="35"/>
    </row>
    <row r="2" spans="1:13" ht="15.75" thickBot="1" x14ac:dyDescent="0.3">
      <c r="A2" s="120" t="s">
        <v>78</v>
      </c>
      <c r="B2" s="120"/>
      <c r="C2" s="120"/>
      <c r="D2" s="37" t="e">
        <f ca="1">SUBTOTAL(9,D4:D20)</f>
        <v>#REF!</v>
      </c>
      <c r="E2" s="37" t="e">
        <f ca="1">SUBTOTAL(9,E4:E20)</f>
        <v>#REF!</v>
      </c>
      <c r="F2" s="37" t="e">
        <f ca="1">SUBTOTAL(9,F4:F20)</f>
        <v>#REF!</v>
      </c>
      <c r="G2" s="37"/>
      <c r="H2" s="37" t="e">
        <f ca="1">SUBTOTAL(9,H4:H20)</f>
        <v>#REF!</v>
      </c>
      <c r="I2" s="37" t="e">
        <f ca="1">SUBTOTAL(9,I4:I20)</f>
        <v>#REF!</v>
      </c>
    </row>
    <row r="3" spans="1:13" ht="15.75" thickBot="1" x14ac:dyDescent="0.3">
      <c r="A3" s="38" t="s">
        <v>79</v>
      </c>
      <c r="B3" s="39"/>
      <c r="C3" s="39" t="s">
        <v>80</v>
      </c>
      <c r="D3" s="39" t="s">
        <v>81</v>
      </c>
      <c r="E3" s="39" t="s">
        <v>82</v>
      </c>
      <c r="F3" s="39" t="s">
        <v>83</v>
      </c>
      <c r="G3" s="39" t="s">
        <v>84</v>
      </c>
      <c r="H3" s="39" t="s">
        <v>85</v>
      </c>
      <c r="I3" s="40" t="s">
        <v>86</v>
      </c>
      <c r="K3" s="41"/>
      <c r="L3" s="37"/>
    </row>
    <row r="4" spans="1:13" x14ac:dyDescent="0.25">
      <c r="A4" s="102">
        <v>8054</v>
      </c>
      <c r="B4" s="103" t="s">
        <v>5</v>
      </c>
      <c r="C4" s="102" t="s">
        <v>87</v>
      </c>
      <c r="D4" s="104" t="e">
        <f ca="1">SUMIF(INDIRECT("TabelaSaidas[AC]"),Apuração_ICMS!A4,INDIRECT("TabelaSaidas[VC_ITEM]"))</f>
        <v>#REF!</v>
      </c>
      <c r="E4" s="104" t="e">
        <f ca="1">SUMIF(INDIRECT("TabelaSaidas[AC]"),Apuração_ICMS!A4,INDIRECT("TabelaSaidas[BC_ICMS]"))</f>
        <v>#REF!</v>
      </c>
      <c r="F4" s="104" t="e">
        <f ca="1">SUMIF(INDIRECT("TabelaSaidas[AC]"),Apuração_ICMS!A4,INDIRECT("TabelaSaidas[ICMS]"))</f>
        <v>#REF!</v>
      </c>
      <c r="G4" s="105">
        <v>1.4999999999999999E-2</v>
      </c>
      <c r="H4" s="106" t="e">
        <f t="shared" ref="H4:H14" ca="1" si="0">F4-I4</f>
        <v>#REF!</v>
      </c>
      <c r="I4" s="106" t="e">
        <f t="shared" ref="I4:I14" ca="1" si="1">E4*G4</f>
        <v>#REF!</v>
      </c>
      <c r="J4" s="12"/>
      <c r="K4" s="42"/>
      <c r="L4" s="37"/>
      <c r="M4" s="12"/>
    </row>
    <row r="5" spans="1:13" x14ac:dyDescent="0.25">
      <c r="A5" s="43">
        <v>5074</v>
      </c>
      <c r="B5" s="44"/>
      <c r="C5" s="43" t="s">
        <v>88</v>
      </c>
      <c r="D5" s="45" t="e">
        <f ca="1">SUMIF(INDIRECT("TabelaSaidas[AC]"),Apuração_ICMS!A5,INDIRECT("TabelaSaidas[VC_ITEM]"))</f>
        <v>#REF!</v>
      </c>
      <c r="E5" s="45" t="e">
        <f ca="1">SUMIF(INDIRECT("TabelaSaidas[AC]"),Apuração_ICMS!A5,INDIRECT("TabelaSaidas[BC_ICMS]"))</f>
        <v>#REF!</v>
      </c>
      <c r="F5" s="45" t="e">
        <f ca="1">SUMIF(INDIRECT("TabelaSaidas[AC]"),Apuração_ICMS!A5,INDIRECT("TabelaSaidas[ICMS]"))</f>
        <v>#REF!</v>
      </c>
      <c r="G5" s="46"/>
      <c r="H5" s="47" t="e">
        <f t="shared" ca="1" si="0"/>
        <v>#REF!</v>
      </c>
      <c r="I5" s="47" t="e">
        <f t="shared" ca="1" si="1"/>
        <v>#REF!</v>
      </c>
      <c r="J5" s="48" t="s">
        <v>84</v>
      </c>
      <c r="K5" s="49" t="s">
        <v>82</v>
      </c>
      <c r="L5" s="49" t="s">
        <v>86</v>
      </c>
      <c r="M5" s="12"/>
    </row>
    <row r="6" spans="1:13" x14ac:dyDescent="0.25">
      <c r="A6" s="43">
        <v>5075</v>
      </c>
      <c r="B6" s="44"/>
      <c r="C6" s="43" t="s">
        <v>89</v>
      </c>
      <c r="D6" s="45" t="e">
        <f ca="1">SUMIF(INDIRECT("TabelaSaidas[AC]"),Apuração_ICMS!A6,INDIRECT("TabelaSaidas[VC_ITEM]"))</f>
        <v>#REF!</v>
      </c>
      <c r="E6" s="45" t="e">
        <f ca="1">SUMIF(INDIRECT("TabelaSaidas[AC]"),Apuração_ICMS!A6,INDIRECT("TabelaSaidas[BC_ICMS]"))</f>
        <v>#REF!</v>
      </c>
      <c r="F6" s="45" t="e">
        <f ca="1">SUMIF(INDIRECT("TabelaSaidas[AC]"),Apuração_ICMS!A6,INDIRECT("TabelaSaidas[ICMS]"))</f>
        <v>#REF!</v>
      </c>
      <c r="G6" s="46"/>
      <c r="H6" s="47" t="e">
        <f t="shared" ca="1" si="0"/>
        <v>#REF!</v>
      </c>
      <c r="I6" s="47" t="e">
        <f t="shared" ca="1" si="1"/>
        <v>#REF!</v>
      </c>
      <c r="J6" s="107">
        <v>1.4999999999999999E-2</v>
      </c>
      <c r="K6" s="108" t="e">
        <f ca="1">SUMIF(G4:G20,J6,E4:E20)</f>
        <v>#REF!</v>
      </c>
      <c r="L6" s="108" t="e">
        <f ca="1">SUMIF(G4:G20,J6,I4:I20)</f>
        <v>#REF!</v>
      </c>
      <c r="M6" s="12"/>
    </row>
    <row r="7" spans="1:13" x14ac:dyDescent="0.25">
      <c r="A7" s="43">
        <v>5076</v>
      </c>
      <c r="B7" s="44"/>
      <c r="C7" s="43" t="s">
        <v>90</v>
      </c>
      <c r="D7" s="45" t="e">
        <f ca="1">SUMIF(INDIRECT("TabelaSaidas[AC]"),Apuração_ICMS!A7,INDIRECT("TabelaSaidas[VC_ITEM]"))</f>
        <v>#REF!</v>
      </c>
      <c r="E7" s="45" t="e">
        <f ca="1">SUMIF(INDIRECT("TabelaSaidas[AC]"),Apuração_ICMS!A7,INDIRECT("TabelaSaidas[BC_ICMS]"))</f>
        <v>#REF!</v>
      </c>
      <c r="F7" s="45" t="e">
        <f ca="1">SUMIF(INDIRECT("TabelaSaidas[AC]"),Apuração_ICMS!A7,INDIRECT("TabelaSaidas[ICMS]"))</f>
        <v>#REF!</v>
      </c>
      <c r="G7" s="46"/>
      <c r="H7" s="47" t="e">
        <f t="shared" ca="1" si="0"/>
        <v>#REF!</v>
      </c>
      <c r="I7" s="47" t="e">
        <f t="shared" ca="1" si="1"/>
        <v>#REF!</v>
      </c>
      <c r="J7" s="114">
        <v>0.03</v>
      </c>
      <c r="K7" s="115" t="e">
        <f ca="1">SUMIF(G4:G20,J7,E4:E20)</f>
        <v>#REF!</v>
      </c>
      <c r="L7" s="115" t="e">
        <f ca="1">SUMIF(G4:G20,J7,I4:I20)</f>
        <v>#REF!</v>
      </c>
      <c r="M7" s="12"/>
    </row>
    <row r="8" spans="1:13" x14ac:dyDescent="0.25">
      <c r="A8" s="109">
        <v>5077</v>
      </c>
      <c r="B8" s="110" t="s">
        <v>1</v>
      </c>
      <c r="C8" s="109" t="s">
        <v>91</v>
      </c>
      <c r="D8" s="111" t="e">
        <f ca="1">SUMIF(INDIRECT("TabelaSaidas[AC]"),Apuração_ICMS!A8,INDIRECT("TabelaSaidas[VC_ITEM]"))</f>
        <v>#REF!</v>
      </c>
      <c r="E8" s="111" t="e">
        <f ca="1">SUMIF(INDIRECT("TabelaSaidas[AC]"),Apuração_ICMS!A8,INDIRECT("TabelaSaidas[BC_ICMS]"))</f>
        <v>#REF!</v>
      </c>
      <c r="F8" s="111" t="e">
        <f ca="1">SUMIF(INDIRECT("TabelaSaidas[AC]"),Apuração_ICMS!A8,INDIRECT("TabelaSaidas[ICMS]"))</f>
        <v>#REF!</v>
      </c>
      <c r="G8" s="112">
        <v>0.03</v>
      </c>
      <c r="H8" s="113" t="e">
        <f t="shared" ca="1" si="0"/>
        <v>#REF!</v>
      </c>
      <c r="I8" s="113" t="e">
        <f t="shared" ca="1" si="1"/>
        <v>#REF!</v>
      </c>
      <c r="J8" s="50"/>
      <c r="K8" s="51"/>
      <c r="L8" s="51"/>
      <c r="M8" s="12"/>
    </row>
    <row r="9" spans="1:13" x14ac:dyDescent="0.25">
      <c r="A9" s="109">
        <v>5078</v>
      </c>
      <c r="B9" s="110" t="s">
        <v>1</v>
      </c>
      <c r="C9" s="109" t="s">
        <v>92</v>
      </c>
      <c r="D9" s="111" t="e">
        <f ca="1">SUMIF(INDIRECT("TabelaSaidas[AC]"),Apuração_ICMS!A9,INDIRECT("TabelaSaidas[VC_ITEM]"))</f>
        <v>#REF!</v>
      </c>
      <c r="E9" s="111" t="e">
        <f ca="1">SUMIF(INDIRECT("TabelaSaidas[AC]"),Apuração_ICMS!A9,INDIRECT("TabelaSaidas[BC_ICMS]"))</f>
        <v>#REF!</v>
      </c>
      <c r="F9" s="111" t="e">
        <f ca="1">SUMIF(INDIRECT("TabelaSaidas[AC]"),Apuração_ICMS!A9,INDIRECT("TabelaSaidas[ICMS]"))</f>
        <v>#REF!</v>
      </c>
      <c r="G9" s="112">
        <v>0.03</v>
      </c>
      <c r="H9" s="113" t="e">
        <f t="shared" ca="1" si="0"/>
        <v>#REF!</v>
      </c>
      <c r="I9" s="113" t="e">
        <f t="shared" ca="1" si="1"/>
        <v>#REF!</v>
      </c>
      <c r="J9" s="12"/>
      <c r="K9" s="52" t="e">
        <f ca="1">SUM(K6:K8)</f>
        <v>#REF!</v>
      </c>
      <c r="L9" s="52" t="e">
        <f ca="1">SUM(L6:L8)</f>
        <v>#REF!</v>
      </c>
      <c r="M9" s="12"/>
    </row>
    <row r="10" spans="1:13" x14ac:dyDescent="0.25">
      <c r="A10" s="109">
        <v>5079</v>
      </c>
      <c r="B10" s="110" t="s">
        <v>1</v>
      </c>
      <c r="C10" s="109" t="s">
        <v>93</v>
      </c>
      <c r="D10" s="111" t="e">
        <f ca="1">SUMIF(INDIRECT("TabelaSaidas[AC]"),Apuração_ICMS!A10,INDIRECT("TabelaSaidas[VC_ITEM]"))</f>
        <v>#REF!</v>
      </c>
      <c r="E10" s="111" t="e">
        <f ca="1">SUMIF(INDIRECT("TabelaSaidas[AC]"),Apuração_ICMS!A10,INDIRECT("TabelaSaidas[BC_ICMS]"))</f>
        <v>#REF!</v>
      </c>
      <c r="F10" s="111" t="e">
        <f ca="1">SUMIF(INDIRECT("TabelaSaidas[AC]"),Apuração_ICMS!A10,INDIRECT("TabelaSaidas[ICMS]"))</f>
        <v>#REF!</v>
      </c>
      <c r="G10" s="112">
        <v>0.03</v>
      </c>
      <c r="H10" s="113" t="e">
        <f t="shared" ca="1" si="0"/>
        <v>#REF!</v>
      </c>
      <c r="I10" s="113" t="e">
        <f t="shared" ca="1" si="1"/>
        <v>#REF!</v>
      </c>
      <c r="J10" s="12"/>
      <c r="K10" s="53"/>
      <c r="L10" s="12"/>
      <c r="M10" s="12"/>
    </row>
    <row r="11" spans="1:13" ht="15.75" thickBot="1" x14ac:dyDescent="0.3">
      <c r="A11" s="109">
        <v>5080</v>
      </c>
      <c r="B11" s="110" t="s">
        <v>1</v>
      </c>
      <c r="C11" s="109" t="s">
        <v>94</v>
      </c>
      <c r="D11" s="111" t="e">
        <f ca="1">SUMIF(INDIRECT("TabelaSaidas[AC]"),Apuração_ICMS!A11,INDIRECT("TabelaSaidas[VC_ITEM]"))</f>
        <v>#REF!</v>
      </c>
      <c r="E11" s="111" t="e">
        <f ca="1">SUMIF(INDIRECT("TabelaSaidas[AC]"),Apuração_ICMS!A11,INDIRECT("TabelaSaidas[BC_ICMS]"))</f>
        <v>#REF!</v>
      </c>
      <c r="F11" s="111" t="e">
        <f ca="1">SUMIF(INDIRECT("TabelaSaidas[AC]"),Apuração_ICMS!A11,INDIRECT("TabelaSaidas[ICMS]"))</f>
        <v>#REF!</v>
      </c>
      <c r="G11" s="112">
        <v>0.03</v>
      </c>
      <c r="H11" s="113" t="e">
        <f ca="1">F11-I11</f>
        <v>#REF!</v>
      </c>
      <c r="I11" s="113" t="e">
        <f ca="1">E11*G11</f>
        <v>#REF!</v>
      </c>
      <c r="J11" s="12"/>
      <c r="K11" s="12"/>
      <c r="L11" s="12"/>
      <c r="M11" s="12"/>
    </row>
    <row r="12" spans="1:13" x14ac:dyDescent="0.25">
      <c r="A12" s="43">
        <v>5081</v>
      </c>
      <c r="B12" s="44"/>
      <c r="C12" s="43" t="s">
        <v>95</v>
      </c>
      <c r="D12" s="45" t="e">
        <f ca="1">SUMIF(INDIRECT("TabelaSaidas[AC]"),Apuração_ICMS!A12,INDIRECT("TabelaSaidas[VC_ITEM]"))</f>
        <v>#REF!</v>
      </c>
      <c r="E12" s="45" t="e">
        <f ca="1">SUMIF(INDIRECT("TabelaSaidas[AC]"),Apuração_ICMS!A12,INDIRECT("TabelaSaidas[BC_ICMS]"))</f>
        <v>#REF!</v>
      </c>
      <c r="F12" s="45" t="e">
        <f ca="1">SUMIF(INDIRECT("TabelaSaidas[AC]"),Apuração_ICMS!A12,INDIRECT("TabelaSaidas[ICMS]"))</f>
        <v>#REF!</v>
      </c>
      <c r="G12" s="46"/>
      <c r="H12" s="47" t="e">
        <f t="shared" ca="1" si="0"/>
        <v>#REF!</v>
      </c>
      <c r="I12" s="47" t="e">
        <f t="shared" ca="1" si="1"/>
        <v>#REF!</v>
      </c>
      <c r="J12" s="12"/>
      <c r="K12" s="54" t="s">
        <v>96</v>
      </c>
      <c r="L12" s="55" t="s">
        <v>97</v>
      </c>
      <c r="M12" s="56" t="s">
        <v>98</v>
      </c>
    </row>
    <row r="13" spans="1:13" ht="15.75" thickBot="1" x14ac:dyDescent="0.3">
      <c r="A13" s="43">
        <v>5082</v>
      </c>
      <c r="B13" s="44"/>
      <c r="C13" s="43" t="s">
        <v>99</v>
      </c>
      <c r="D13" s="45" t="e">
        <f ca="1">SUMIF(INDIRECT("TabelaSaidas[AC]"),Apuração_ICMS!A13,INDIRECT("TabelaSaidas[VC_ITEM]"))</f>
        <v>#REF!</v>
      </c>
      <c r="E13" s="45" t="e">
        <f ca="1">SUMIF(INDIRECT("TabelaSaidas[AC]"),Apuração_ICMS!A13,INDIRECT("TabelaSaidas[BC_ICMS]"))</f>
        <v>#REF!</v>
      </c>
      <c r="F13" s="45" t="e">
        <f ca="1">SUMIF(INDIRECT("TabelaSaidas[AC]"),Apuração_ICMS!A13,INDIRECT("TabelaSaidas[ICMS]"))</f>
        <v>#REF!</v>
      </c>
      <c r="G13" s="46"/>
      <c r="H13" s="47" t="e">
        <f t="shared" ca="1" si="0"/>
        <v>#REF!</v>
      </c>
      <c r="I13" s="47" t="e">
        <f t="shared" ca="1" si="1"/>
        <v>#REF!</v>
      </c>
      <c r="J13" s="12"/>
      <c r="K13" s="57" t="e">
        <f ca="1">D21</f>
        <v>#REF!</v>
      </c>
      <c r="L13" s="58" t="e">
        <f ca="1">D4</f>
        <v>#REF!</v>
      </c>
      <c r="M13" s="59" t="e">
        <f ca="1">L13/K13%</f>
        <v>#REF!</v>
      </c>
    </row>
    <row r="14" spans="1:13" x14ac:dyDescent="0.25">
      <c r="A14" s="109">
        <v>5083</v>
      </c>
      <c r="B14" s="110" t="s">
        <v>1</v>
      </c>
      <c r="C14" s="109" t="s">
        <v>100</v>
      </c>
      <c r="D14" s="111" t="e">
        <f ca="1">SUMIF(INDIRECT("TabelaSaidas[AC]"),Apuração_ICMS!A14,INDIRECT("TabelaSaidas[VC_ITEM]"))</f>
        <v>#REF!</v>
      </c>
      <c r="E14" s="111" t="e">
        <f ca="1">SUMIF(INDIRECT("TabelaSaidas[AC]"),Apuração_ICMS!A14,INDIRECT("TabelaSaidas[BC_ICMS]"))</f>
        <v>#REF!</v>
      </c>
      <c r="F14" s="111" t="e">
        <f ca="1">SUMIF(INDIRECT("TabelaSaidas[AC]"),Apuração_ICMS!A14,INDIRECT("TabelaSaidas[ICMS]"))</f>
        <v>#REF!</v>
      </c>
      <c r="G14" s="112">
        <v>0.03</v>
      </c>
      <c r="H14" s="113" t="e">
        <f t="shared" ca="1" si="0"/>
        <v>#REF!</v>
      </c>
      <c r="I14" s="113" t="e">
        <f t="shared" ca="1" si="1"/>
        <v>#REF!</v>
      </c>
      <c r="J14" s="12"/>
      <c r="K14" s="12"/>
      <c r="L14" s="12"/>
      <c r="M14" s="12"/>
    </row>
    <row r="15" spans="1:13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12"/>
      <c r="K15" s="12"/>
      <c r="L15" s="12"/>
      <c r="M15" s="12"/>
    </row>
    <row r="16" spans="1:1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12"/>
      <c r="K16" s="53"/>
      <c r="L16" s="12"/>
      <c r="M16" s="12"/>
    </row>
    <row r="17" spans="1:13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12"/>
      <c r="K17" s="53"/>
      <c r="L17" s="12"/>
      <c r="M17" s="12"/>
    </row>
    <row r="18" spans="1:13" x14ac:dyDescent="0.25">
      <c r="A18" s="61"/>
      <c r="B18" s="61"/>
      <c r="C18" s="62"/>
      <c r="D18" s="63"/>
      <c r="E18" s="63"/>
      <c r="F18" s="63"/>
      <c r="G18" s="64"/>
      <c r="H18" s="60"/>
      <c r="I18" s="60"/>
      <c r="J18" s="12"/>
      <c r="K18" s="53"/>
      <c r="L18" s="12"/>
      <c r="M18" s="12"/>
    </row>
    <row r="19" spans="1:13" x14ac:dyDescent="0.25">
      <c r="A19" s="61"/>
      <c r="B19" s="61"/>
      <c r="C19" s="62"/>
      <c r="D19" s="63"/>
      <c r="E19" s="63"/>
      <c r="F19" s="63"/>
      <c r="G19" s="64"/>
      <c r="H19" s="60"/>
      <c r="I19" s="60"/>
      <c r="J19" s="12"/>
      <c r="K19" s="53"/>
      <c r="L19" s="12"/>
      <c r="M19" s="12"/>
    </row>
    <row r="20" spans="1:13" x14ac:dyDescent="0.25">
      <c r="A20" s="61"/>
      <c r="B20" s="61"/>
      <c r="C20" s="62"/>
      <c r="D20" s="63"/>
      <c r="E20" s="63"/>
      <c r="F20" s="63"/>
      <c r="G20" s="64"/>
      <c r="H20" s="60"/>
      <c r="I20" s="60"/>
      <c r="J20" s="12"/>
      <c r="K20" s="53"/>
      <c r="L20" s="12"/>
      <c r="M20" s="12"/>
    </row>
    <row r="21" spans="1:13" x14ac:dyDescent="0.25">
      <c r="A21" s="65" t="s">
        <v>101</v>
      </c>
      <c r="B21" s="66"/>
      <c r="C21" s="65"/>
      <c r="D21" s="67" t="e">
        <f ca="1">SUM(D4:D20)</f>
        <v>#REF!</v>
      </c>
      <c r="E21" s="67" t="e">
        <f ca="1">SUM(E4:E20)</f>
        <v>#REF!</v>
      </c>
      <c r="F21" s="67" t="e">
        <f ca="1">SUM(F4:F20)</f>
        <v>#REF!</v>
      </c>
      <c r="G21" s="67"/>
      <c r="H21" s="67" t="e">
        <f ca="1">SUM(H4:H20)</f>
        <v>#REF!</v>
      </c>
      <c r="I21" s="67" t="e">
        <f ca="1">SUM(I4:I20)</f>
        <v>#REF!</v>
      </c>
      <c r="K21" s="53"/>
      <c r="L21" s="12"/>
      <c r="M21" s="12"/>
    </row>
    <row r="22" spans="1:13" x14ac:dyDescent="0.25">
      <c r="A22" s="36" t="s">
        <v>102</v>
      </c>
      <c r="B22" s="35"/>
      <c r="E22" s="26"/>
      <c r="F22" s="26"/>
      <c r="G22" s="68"/>
      <c r="H22" s="26"/>
      <c r="I22" s="26"/>
      <c r="K22" s="26"/>
    </row>
    <row r="23" spans="1:13" x14ac:dyDescent="0.25">
      <c r="A23" s="69" t="s">
        <v>79</v>
      </c>
      <c r="B23" s="70"/>
      <c r="C23" s="69" t="s">
        <v>80</v>
      </c>
      <c r="D23" s="69" t="s">
        <v>81</v>
      </c>
      <c r="E23" s="69" t="s">
        <v>82</v>
      </c>
      <c r="F23" s="69" t="s">
        <v>83</v>
      </c>
      <c r="G23" s="69"/>
      <c r="H23" s="69"/>
      <c r="I23" s="71" t="s">
        <v>103</v>
      </c>
      <c r="K23" s="26"/>
    </row>
    <row r="24" spans="1:13" x14ac:dyDescent="0.25">
      <c r="A24" s="72">
        <v>60</v>
      </c>
      <c r="B24" s="73"/>
      <c r="C24" s="72" t="s">
        <v>104</v>
      </c>
      <c r="D24" s="74" t="e">
        <f ca="1">SUMIF(INDIRECT("TabelaSaidas[AC]"),Apuração_ICMS!A24,INDIRECT("TabelaSaidas[VC_ITEM]"))</f>
        <v>#REF!</v>
      </c>
      <c r="E24" s="74" t="e">
        <f ca="1">SUMIF(INDIRECT("TabelaSaidas[AC]"),Apuração_ICMS!A24,INDIRECT("TabelaSaidas[BC_ICMS]"))</f>
        <v>#REF!</v>
      </c>
      <c r="F24" s="74" t="e">
        <f ca="1">SUMIF(INDIRECT("TabelaSaidas[AC]"),Apuração_ICMS!A24,INDIRECT("TabelaSaidas[ICMS]"))</f>
        <v>#REF!</v>
      </c>
      <c r="G24" s="65"/>
      <c r="H24" s="65"/>
      <c r="I24" s="75" t="e">
        <f t="shared" ref="I24:I36" ca="1" si="2">F24</f>
        <v>#REF!</v>
      </c>
      <c r="K24" s="26"/>
    </row>
    <row r="25" spans="1:13" x14ac:dyDescent="0.25">
      <c r="A25" s="72">
        <v>503</v>
      </c>
      <c r="B25" s="73"/>
      <c r="C25" s="72" t="s">
        <v>105</v>
      </c>
      <c r="D25" s="74" t="e">
        <f ca="1">SUMIF(INDIRECT("TabelaSaidas[AC]"),Apuração_ICMS!A25,INDIRECT("TabelaSaidas[VC_ITEM]"))</f>
        <v>#REF!</v>
      </c>
      <c r="E25" s="74" t="e">
        <f ca="1">SUMIF(INDIRECT("TabelaSaidas[AC]"),Apuração_ICMS!A25,INDIRECT("TabelaSaidas[BC_ICMS]"))</f>
        <v>#REF!</v>
      </c>
      <c r="F25" s="74" t="e">
        <f ca="1">SUMIF(INDIRECT("TabelaSaidas[AC]"),Apuração_ICMS!A25,INDIRECT("TabelaSaidas[ICMS]"))</f>
        <v>#REF!</v>
      </c>
      <c r="G25" s="76"/>
      <c r="H25" s="75"/>
      <c r="I25" s="75" t="e">
        <f t="shared" ca="1" si="2"/>
        <v>#REF!</v>
      </c>
      <c r="K25" s="26"/>
    </row>
    <row r="26" spans="1:13" x14ac:dyDescent="0.25">
      <c r="A26" s="77">
        <v>513</v>
      </c>
      <c r="B26" s="61"/>
      <c r="C26" s="77" t="s">
        <v>106</v>
      </c>
      <c r="D26" s="74" t="e">
        <f ca="1">SUMIF(INDIRECT("TabelaSaidas[AC]"),Apuração_ICMS!A26,INDIRECT("TabelaSaidas[VC_ITEM]"))</f>
        <v>#REF!</v>
      </c>
      <c r="E26" s="74" t="e">
        <f ca="1">SUMIF(INDIRECT("TabelaSaidas[AC]"),Apuração_ICMS!A26,INDIRECT("TabelaSaidas[BC_ICMS]"))</f>
        <v>#REF!</v>
      </c>
      <c r="F26" s="74" t="e">
        <f ca="1">SUMIF(INDIRECT("TabelaSaidas[AC]"),Apuração_ICMS!A26,INDIRECT("TabelaSaidas[ICMS]"))</f>
        <v>#REF!</v>
      </c>
      <c r="G26" s="76"/>
      <c r="H26" s="75"/>
      <c r="I26" s="75" t="e">
        <f t="shared" ca="1" si="2"/>
        <v>#REF!</v>
      </c>
    </row>
    <row r="27" spans="1:13" x14ac:dyDescent="0.25">
      <c r="A27" s="72">
        <v>583</v>
      </c>
      <c r="B27" s="73"/>
      <c r="C27" s="72" t="s">
        <v>107</v>
      </c>
      <c r="D27" s="74" t="e">
        <f ca="1">SUMIF(INDIRECT("TabelaSaidas[AC]"),Apuração_ICMS!A27,INDIRECT("TabelaSaidas[VC_ITEM]"))</f>
        <v>#REF!</v>
      </c>
      <c r="E27" s="74" t="e">
        <f ca="1">SUMIF(INDIRECT("TabelaSaidas[AC]"),Apuração_ICMS!A27,INDIRECT("TabelaSaidas[BC_ICMS]"))</f>
        <v>#REF!</v>
      </c>
      <c r="F27" s="74" t="e">
        <f ca="1">SUMIF(INDIRECT("TabelaSaidas[AC]"),Apuração_ICMS!A27,INDIRECT("TabelaSaidas[ICMS]"))</f>
        <v>#REF!</v>
      </c>
      <c r="G27" s="76"/>
      <c r="H27" s="75"/>
      <c r="I27" s="75" t="e">
        <f t="shared" ca="1" si="2"/>
        <v>#REF!</v>
      </c>
    </row>
    <row r="28" spans="1:13" x14ac:dyDescent="0.25">
      <c r="A28" s="72">
        <v>610</v>
      </c>
      <c r="B28" s="73"/>
      <c r="C28" s="72" t="s">
        <v>108</v>
      </c>
      <c r="D28" s="74" t="e">
        <f ca="1">SUMIF(INDIRECT("TabelaSaidas[AC]"),Apuração_ICMS!A28,INDIRECT("TabelaSaidas[VC_ITEM]"))</f>
        <v>#REF!</v>
      </c>
      <c r="E28" s="74" t="e">
        <f ca="1">SUMIF(INDIRECT("TabelaSaidas[AC]"),Apuração_ICMS!A28,INDIRECT("TabelaSaidas[BC_ICMS]"))</f>
        <v>#REF!</v>
      </c>
      <c r="F28" s="74" t="e">
        <f ca="1">SUMIF(INDIRECT("TabelaSaidas[AC]"),Apuração_ICMS!A28,INDIRECT("TabelaSaidas[ICMS]"))</f>
        <v>#REF!</v>
      </c>
      <c r="G28" s="76"/>
      <c r="H28" s="75"/>
      <c r="I28" s="75" t="e">
        <f t="shared" ca="1" si="2"/>
        <v>#REF!</v>
      </c>
      <c r="J28" s="26"/>
    </row>
    <row r="29" spans="1:13" x14ac:dyDescent="0.25">
      <c r="A29" s="72">
        <v>854</v>
      </c>
      <c r="B29" s="73"/>
      <c r="C29" s="72" t="s">
        <v>109</v>
      </c>
      <c r="D29" s="74" t="e">
        <f ca="1">SUMIF(INDIRECT("TabelaSaidas[AC]"),Apuração_ICMS!A29,INDIRECT("TabelaSaidas[VC_ITEM]"))</f>
        <v>#REF!</v>
      </c>
      <c r="E29" s="74" t="e">
        <f ca="1">SUMIF(INDIRECT("TabelaSaidas[AC]"),Apuração_ICMS!A29,INDIRECT("TabelaSaidas[BC_ICMS]"))</f>
        <v>#REF!</v>
      </c>
      <c r="F29" s="74" t="e">
        <f ca="1">SUMIF(INDIRECT("TabelaSaidas[AC]"),Apuração_ICMS!A29,INDIRECT("TabelaSaidas[ICMS]"))</f>
        <v>#REF!</v>
      </c>
      <c r="G29" s="76"/>
      <c r="H29" s="75"/>
      <c r="I29" s="75" t="e">
        <f t="shared" ca="1" si="2"/>
        <v>#REF!</v>
      </c>
      <c r="J29" s="26"/>
    </row>
    <row r="30" spans="1:13" x14ac:dyDescent="0.25">
      <c r="A30" s="72">
        <v>910</v>
      </c>
      <c r="B30" s="73"/>
      <c r="C30" s="72" t="s">
        <v>110</v>
      </c>
      <c r="D30" s="74" t="e">
        <f ca="1">SUMIF(INDIRECT("TabelaSaidas[AC]"),Apuração_ICMS!A30,INDIRECT("TabelaSaidas[VC_ITEM]"))</f>
        <v>#REF!</v>
      </c>
      <c r="E30" s="74" t="e">
        <f ca="1">SUMIF(INDIRECT("TabelaSaidas[AC]"),Apuração_ICMS!A30,INDIRECT("TabelaSaidas[BC_ICMS]"))</f>
        <v>#REF!</v>
      </c>
      <c r="F30" s="74" t="e">
        <f ca="1">SUMIF(INDIRECT("TabelaSaidas[AC]"),Apuração_ICMS!A30,INDIRECT("TabelaSaidas[ICMS]"))</f>
        <v>#REF!</v>
      </c>
      <c r="G30" s="76"/>
      <c r="H30" s="75"/>
      <c r="I30" s="75" t="e">
        <f t="shared" ca="1" si="2"/>
        <v>#REF!</v>
      </c>
      <c r="J30" s="26"/>
    </row>
    <row r="31" spans="1:13" x14ac:dyDescent="0.25">
      <c r="A31" s="72">
        <v>911</v>
      </c>
      <c r="B31" s="73"/>
      <c r="C31" s="72" t="s">
        <v>111</v>
      </c>
      <c r="D31" s="74" t="e">
        <f ca="1">SUMIF(INDIRECT("TabelaSaidas[AC]"),Apuração_ICMS!A31,INDIRECT("TabelaSaidas[VC_ITEM]"))</f>
        <v>#REF!</v>
      </c>
      <c r="E31" s="74" t="e">
        <f ca="1">SUMIF(INDIRECT("TabelaSaidas[AC]"),Apuração_ICMS!A31,INDIRECT("TabelaSaidas[BC_ICMS]"))</f>
        <v>#REF!</v>
      </c>
      <c r="F31" s="74" t="e">
        <f ca="1">SUMIF(INDIRECT("TabelaSaidas[AC]"),Apuração_ICMS!A31,INDIRECT("TabelaSaidas[ICMS]"))</f>
        <v>#REF!</v>
      </c>
      <c r="G31" s="76"/>
      <c r="H31" s="75"/>
      <c r="I31" s="75" t="e">
        <f t="shared" ca="1" si="2"/>
        <v>#REF!</v>
      </c>
      <c r="J31" s="26"/>
    </row>
    <row r="32" spans="1:13" x14ac:dyDescent="0.25">
      <c r="A32" s="72">
        <v>916</v>
      </c>
      <c r="B32" s="73"/>
      <c r="C32" s="72" t="s">
        <v>112</v>
      </c>
      <c r="D32" s="74" t="e">
        <f ca="1">SUMIF(INDIRECT("TabelaSaidas[AC]"),Apuração_ICMS!A32,INDIRECT("TabelaSaidas[VC_ITEM]"))</f>
        <v>#REF!</v>
      </c>
      <c r="E32" s="74" t="e">
        <f ca="1">SUMIF(INDIRECT("TabelaSaidas[AC]"),Apuração_ICMS!A32,INDIRECT("TabelaSaidas[BC_ICMS]"))</f>
        <v>#REF!</v>
      </c>
      <c r="F32" s="74" t="e">
        <f ca="1">SUMIF(INDIRECT("TabelaSaidas[AC]"),Apuração_ICMS!A32,INDIRECT("TabelaSaidas[ICMS]"))</f>
        <v>#REF!</v>
      </c>
      <c r="G32" s="76"/>
      <c r="H32" s="75"/>
      <c r="I32" s="75" t="e">
        <f t="shared" ca="1" si="2"/>
        <v>#REF!</v>
      </c>
      <c r="J32" s="26"/>
    </row>
    <row r="33" spans="1:11" x14ac:dyDescent="0.25">
      <c r="A33" s="72">
        <v>920</v>
      </c>
      <c r="B33" s="73"/>
      <c r="C33" s="72" t="s">
        <v>113</v>
      </c>
      <c r="D33" s="74" t="e">
        <f ca="1">SUMIF(INDIRECT("TabelaSaidas[AC]"),Apuração_ICMS!A33,INDIRECT("TabelaSaidas[VC_ITEM]"))</f>
        <v>#REF!</v>
      </c>
      <c r="E33" s="74" t="e">
        <f ca="1">SUMIF(INDIRECT("TabelaSaidas[AC]"),Apuração_ICMS!A33,INDIRECT("TabelaSaidas[BC_ICMS]"))</f>
        <v>#REF!</v>
      </c>
      <c r="F33" s="74" t="e">
        <f ca="1">SUMIF(INDIRECT("TabelaSaidas[AC]"),Apuração_ICMS!A33,INDIRECT("TabelaSaidas[ICMS]"))</f>
        <v>#REF!</v>
      </c>
      <c r="G33" s="76"/>
      <c r="H33" s="75"/>
      <c r="I33" s="75" t="e">
        <f t="shared" ca="1" si="2"/>
        <v>#REF!</v>
      </c>
      <c r="J33" s="26"/>
    </row>
    <row r="34" spans="1:11" x14ac:dyDescent="0.25">
      <c r="A34" s="77">
        <v>5090</v>
      </c>
      <c r="B34" s="61"/>
      <c r="C34" s="77" t="s">
        <v>114</v>
      </c>
      <c r="D34" s="74" t="e">
        <f ca="1">SUMIF(INDIRECT("TabelaSaidas[AC]"),Apuração_ICMS!A34,INDIRECT("TabelaSaidas[VC_ITEM]"))</f>
        <v>#REF!</v>
      </c>
      <c r="E34" s="74" t="e">
        <f ca="1">SUMIF(INDIRECT("TabelaSaidas[AC]"),Apuração_ICMS!A34,INDIRECT("TabelaSaidas[BC_ICMS]"))</f>
        <v>#REF!</v>
      </c>
      <c r="F34" s="74" t="e">
        <f ca="1">SUMIF(INDIRECT("TabelaSaidas[AC]"),Apuração_ICMS!A34,INDIRECT("TabelaSaidas[ICMS]"))</f>
        <v>#REF!</v>
      </c>
      <c r="G34" s="76"/>
      <c r="H34" s="75"/>
      <c r="I34" s="75" t="e">
        <f t="shared" ca="1" si="2"/>
        <v>#REF!</v>
      </c>
      <c r="J34" s="26"/>
    </row>
    <row r="35" spans="1:11" x14ac:dyDescent="0.25">
      <c r="A35" s="72">
        <v>5094</v>
      </c>
      <c r="B35" s="73"/>
      <c r="C35" s="77" t="s">
        <v>115</v>
      </c>
      <c r="D35" s="74" t="e">
        <f ca="1">SUMIF(INDIRECT("TabelaSaidas[AC]"),Apuração_ICMS!A35,INDIRECT("TabelaSaidas[VC_ITEM]"))</f>
        <v>#REF!</v>
      </c>
      <c r="E35" s="74" t="e">
        <f ca="1">SUMIF(INDIRECT("TabelaSaidas[AC]"),Apuração_ICMS!A35,INDIRECT("TabelaSaidas[BC_ICMS]"))</f>
        <v>#REF!</v>
      </c>
      <c r="F35" s="74" t="e">
        <f ca="1">SUMIF(INDIRECT("TabelaSaidas[AC]"),Apuração_ICMS!A35,INDIRECT("TabelaSaidas[ICMS]"))</f>
        <v>#REF!</v>
      </c>
      <c r="G35" s="76"/>
      <c r="H35" s="75"/>
      <c r="I35" s="75" t="e">
        <f t="shared" ca="1" si="2"/>
        <v>#REF!</v>
      </c>
      <c r="J35" s="26"/>
    </row>
    <row r="36" spans="1:11" x14ac:dyDescent="0.25">
      <c r="A36" s="72">
        <v>5095</v>
      </c>
      <c r="B36" s="73"/>
      <c r="C36" s="72" t="s">
        <v>116</v>
      </c>
      <c r="D36" s="74" t="e">
        <f ca="1">SUMIF(INDIRECT("TabelaSaidas[AC]"),Apuração_ICMS!A36,INDIRECT("TabelaSaidas[VC_ITEM]"))</f>
        <v>#REF!</v>
      </c>
      <c r="E36" s="74" t="e">
        <f ca="1">SUMIF(INDIRECT("TabelaSaidas[AC]"),Apuração_ICMS!A36,INDIRECT("TabelaSaidas[BC_ICMS]"))</f>
        <v>#REF!</v>
      </c>
      <c r="F36" s="74" t="e">
        <f ca="1">SUMIF(INDIRECT("TabelaSaidas[AC]"),Apuração_ICMS!A36,INDIRECT("TabelaSaidas[ICMS]"))</f>
        <v>#REF!</v>
      </c>
      <c r="G36" s="76"/>
      <c r="H36" s="75"/>
      <c r="I36" s="75" t="e">
        <f t="shared" ca="1" si="2"/>
        <v>#REF!</v>
      </c>
      <c r="K36" s="26"/>
    </row>
    <row r="37" spans="1:11" x14ac:dyDescent="0.25">
      <c r="A37" s="78" t="s">
        <v>101</v>
      </c>
      <c r="B37" s="79"/>
      <c r="C37" s="80"/>
      <c r="D37" s="81" t="e">
        <f ca="1">SUM(D24:D36)</f>
        <v>#REF!</v>
      </c>
      <c r="E37" s="81" t="e">
        <f ca="1">SUM(E24:E36)</f>
        <v>#REF!</v>
      </c>
      <c r="F37" s="81" t="e">
        <f ca="1">SUM(F24:F36)</f>
        <v>#REF!</v>
      </c>
      <c r="G37" s="81"/>
      <c r="H37" s="82"/>
      <c r="I37" s="81" t="e">
        <f ca="1">SUM(I24:I36)</f>
        <v>#REF!</v>
      </c>
    </row>
    <row r="38" spans="1:11" x14ac:dyDescent="0.25">
      <c r="B38" s="25"/>
      <c r="E38" s="26"/>
    </row>
    <row r="39" spans="1:11" x14ac:dyDescent="0.25">
      <c r="A39" s="83" t="s">
        <v>117</v>
      </c>
      <c r="B39" s="84"/>
      <c r="E39" s="26"/>
    </row>
    <row r="40" spans="1:11" x14ac:dyDescent="0.25">
      <c r="A40" t="s">
        <v>118</v>
      </c>
      <c r="B40" s="25"/>
      <c r="E40" s="85" t="e">
        <f ca="1">SUM(INDIRECT("TabelaSaidas[ICMS]"))</f>
        <v>#REF!</v>
      </c>
      <c r="F40" s="26"/>
      <c r="K40" s="86"/>
    </row>
    <row r="41" spans="1:11" x14ac:dyDescent="0.25">
      <c r="A41" t="s">
        <v>119</v>
      </c>
      <c r="B41" s="25"/>
      <c r="E41" s="85">
        <v>0</v>
      </c>
      <c r="F41" s="26"/>
      <c r="K41" s="86"/>
    </row>
    <row r="42" spans="1:11" x14ac:dyDescent="0.25">
      <c r="A42" t="s">
        <v>120</v>
      </c>
      <c r="B42" s="25"/>
      <c r="E42" s="85" t="e">
        <f ca="1">F21*-1</f>
        <v>#REF!</v>
      </c>
      <c r="F42" s="26"/>
      <c r="K42" s="86"/>
    </row>
    <row r="43" spans="1:11" x14ac:dyDescent="0.25">
      <c r="A43" t="s">
        <v>121</v>
      </c>
      <c r="B43" s="25"/>
      <c r="E43" s="87">
        <v>0</v>
      </c>
      <c r="F43" s="26"/>
      <c r="K43" s="86"/>
    </row>
    <row r="44" spans="1:11" x14ac:dyDescent="0.25">
      <c r="A44" t="s">
        <v>122</v>
      </c>
      <c r="B44" s="25"/>
      <c r="E44" s="87" t="e" cm="1">
        <f t="array" aca="1" ref="E44" ca="1">INDIRECT("TabelaEntradas[[#Totais];[VLR-ICMS]]")*-1</f>
        <v>#REF!</v>
      </c>
      <c r="F44" s="86"/>
      <c r="G44" s="88"/>
      <c r="K44" s="86"/>
    </row>
    <row r="45" spans="1:11" x14ac:dyDescent="0.25">
      <c r="A45" t="s">
        <v>123</v>
      </c>
      <c r="B45" s="25"/>
      <c r="E45" s="87">
        <v>0</v>
      </c>
      <c r="F45" s="86"/>
      <c r="K45" s="86"/>
    </row>
    <row r="46" spans="1:11" x14ac:dyDescent="0.25">
      <c r="A46" t="s">
        <v>124</v>
      </c>
      <c r="B46" s="25"/>
      <c r="E46" s="87">
        <v>0</v>
      </c>
      <c r="F46" s="86"/>
      <c r="K46" s="86"/>
    </row>
    <row r="47" spans="1:11" x14ac:dyDescent="0.25">
      <c r="A47" t="s">
        <v>125</v>
      </c>
      <c r="B47" s="25"/>
      <c r="E47" s="87" t="e" cm="1">
        <f t="array" aca="1" ref="E47" ca="1">INDIRECT("TabelaEntradas[[#Totais];[Estorno]]")</f>
        <v>#REF!</v>
      </c>
      <c r="F47" s="86"/>
      <c r="K47" s="86"/>
    </row>
    <row r="48" spans="1:11" x14ac:dyDescent="0.25">
      <c r="A48" t="s">
        <v>126</v>
      </c>
      <c r="B48" s="25"/>
      <c r="E48" s="87" t="e" cm="1">
        <f t="array" aca="1" ref="E48" ca="1">INDIRECT("'GERENCIAL_ENTRADAS'!K24") + INDIRECT("'GERENCIAL_ENTRADAS'!K29")</f>
        <v>#REF!</v>
      </c>
      <c r="F48" s="86"/>
      <c r="K48" s="86"/>
    </row>
    <row r="49" spans="1:11" x14ac:dyDescent="0.25">
      <c r="A49" t="s">
        <v>127</v>
      </c>
      <c r="B49" s="25"/>
      <c r="E49" s="87" t="e" cm="1">
        <f t="array" aca="1" ref="E49" ca="1">INDIRECT("'GERENCIAL_ENTRADAS'!N24") + INDIRECT("'GERENCIAL_ENTRADAS'!N29")</f>
        <v>#REF!</v>
      </c>
      <c r="F49" s="86"/>
      <c r="K49" s="86"/>
    </row>
    <row r="50" spans="1:11" x14ac:dyDescent="0.25">
      <c r="A50" t="s">
        <v>128</v>
      </c>
      <c r="B50" s="25"/>
      <c r="E50" s="87"/>
      <c r="F50" s="86"/>
      <c r="K50" s="86"/>
    </row>
    <row r="51" spans="1:11" ht="15.75" thickBot="1" x14ac:dyDescent="0.3">
      <c r="A51" s="89" t="s">
        <v>129</v>
      </c>
      <c r="B51" s="90"/>
      <c r="C51" s="89"/>
      <c r="D51" s="89"/>
      <c r="E51" s="91"/>
      <c r="F51" s="26"/>
      <c r="K51" s="86"/>
    </row>
    <row r="52" spans="1:11" ht="15.75" thickTop="1" x14ac:dyDescent="0.25">
      <c r="A52" s="36" t="s">
        <v>130</v>
      </c>
      <c r="B52" s="35"/>
      <c r="E52" s="92" t="e">
        <f ca="1">SUM(E40:E51)</f>
        <v>#REF!</v>
      </c>
      <c r="F52" s="93"/>
      <c r="G52" s="94"/>
      <c r="H52" s="36"/>
      <c r="K52" s="93"/>
    </row>
    <row r="53" spans="1:11" x14ac:dyDescent="0.25">
      <c r="B53" s="25"/>
      <c r="E53" s="87"/>
    </row>
    <row r="54" spans="1:11" x14ac:dyDescent="0.25">
      <c r="A54" s="83" t="s">
        <v>131</v>
      </c>
      <c r="B54" s="84"/>
      <c r="E54" s="87"/>
    </row>
    <row r="55" spans="1:11" x14ac:dyDescent="0.25">
      <c r="A55" t="s">
        <v>132</v>
      </c>
      <c r="B55" s="25"/>
      <c r="E55" s="87" t="e">
        <f ca="1">F21</f>
        <v>#REF!</v>
      </c>
    </row>
    <row r="56" spans="1:11" x14ac:dyDescent="0.25">
      <c r="A56" t="s">
        <v>133</v>
      </c>
      <c r="B56" s="25"/>
      <c r="E56" s="87" t="e" cm="1">
        <f t="array" aca="1" ref="E56" ca="1">-INDIRECT("TabelaEntradas[[#Totais];[ESTORNO DEV]]")</f>
        <v>#REF!</v>
      </c>
    </row>
    <row r="57" spans="1:11" ht="15.75" thickBot="1" x14ac:dyDescent="0.3">
      <c r="A57" s="89" t="s">
        <v>134</v>
      </c>
      <c r="B57" s="90"/>
      <c r="C57" s="89"/>
      <c r="D57" s="89"/>
      <c r="E57" s="91" t="e">
        <f ca="1">H21*-1</f>
        <v>#REF!</v>
      </c>
      <c r="F57" s="95"/>
    </row>
    <row r="58" spans="1:11" ht="15.75" thickTop="1" x14ac:dyDescent="0.25">
      <c r="A58" s="36" t="s">
        <v>135</v>
      </c>
      <c r="B58" s="35"/>
      <c r="E58" s="96" t="e">
        <f ca="1">SUM(E55:E57)</f>
        <v>#REF!</v>
      </c>
      <c r="F58" s="26"/>
      <c r="G58" s="26"/>
      <c r="H58" s="26"/>
    </row>
    <row r="59" spans="1:11" x14ac:dyDescent="0.25">
      <c r="B59" s="25"/>
      <c r="E59" s="87"/>
    </row>
    <row r="60" spans="1:11" x14ac:dyDescent="0.25">
      <c r="A60" s="83" t="s">
        <v>136</v>
      </c>
      <c r="B60" s="97"/>
      <c r="C60" s="98"/>
      <c r="D60" s="98"/>
      <c r="E60" s="99"/>
    </row>
    <row r="61" spans="1:11" x14ac:dyDescent="0.25">
      <c r="A61" t="s">
        <v>137</v>
      </c>
      <c r="B61" s="25"/>
      <c r="E61" s="87" t="e">
        <f ca="1">SUMIF(INDIRECT("TabelaSaidas[Ufp]"),"MG",INDIRECT("TabelaSaidas[ICMSST]"))</f>
        <v>#REF!</v>
      </c>
    </row>
    <row r="62" spans="1:11" x14ac:dyDescent="0.25">
      <c r="A62" t="s">
        <v>138</v>
      </c>
      <c r="B62" s="25"/>
      <c r="E62" s="87">
        <v>0</v>
      </c>
    </row>
    <row r="63" spans="1:11" x14ac:dyDescent="0.25">
      <c r="A63" t="s">
        <v>139</v>
      </c>
      <c r="B63" s="25"/>
      <c r="E63" s="87">
        <v>0</v>
      </c>
    </row>
    <row r="64" spans="1:11" x14ac:dyDescent="0.25">
      <c r="A64" t="s">
        <v>140</v>
      </c>
      <c r="B64" s="25"/>
      <c r="E64" s="87" t="e">
        <f ca="1">SUMIFS(INDIRECT("TabelaEntradas[ICMS-ST]"),INDIRECT("TabelaEntradas[CFOP]"),2411,INDIRECT("TabelaEntradas[UF]"),"MG") + SUMIFS(INDIRECT("TabelaEntradas[ICMS-ST]"),INDIRECT("TabelaEntradas[CFOP]"),1411,INDIRECT("TabelaEntradas[UF]"),"MG")</f>
        <v>#REF!</v>
      </c>
    </row>
    <row r="65" spans="1:5" x14ac:dyDescent="0.25">
      <c r="A65" t="s">
        <v>141</v>
      </c>
      <c r="B65" s="25"/>
      <c r="E65" s="87" t="e">
        <f ca="1">SUMIFS(INDIRECT("TabelaEntradas[ICMS-ST]"),INDIRECT("TabelaEntradas[CFOP]"),1949,INDIRECT("TabelaEntradas[UF]"),"MG")*-1</f>
        <v>#REF!</v>
      </c>
    </row>
    <row r="66" spans="1:5" ht="15.75" thickBot="1" x14ac:dyDescent="0.3">
      <c r="A66" s="89" t="s">
        <v>142</v>
      </c>
      <c r="B66" s="90"/>
      <c r="C66" s="89"/>
      <c r="D66" s="89"/>
      <c r="E66" s="91"/>
    </row>
    <row r="67" spans="1:5" ht="15.75" thickTop="1" x14ac:dyDescent="0.25">
      <c r="A67" s="36" t="s">
        <v>143</v>
      </c>
      <c r="B67" s="100"/>
      <c r="C67" s="98"/>
      <c r="D67" s="98"/>
      <c r="E67" s="96" t="e">
        <f ca="1">E61+E62+E63-E64+E65+E66</f>
        <v>#REF!</v>
      </c>
    </row>
    <row r="68" spans="1:5" x14ac:dyDescent="0.25">
      <c r="A68" s="98"/>
      <c r="B68" s="101"/>
      <c r="C68" s="98"/>
      <c r="D68" s="98"/>
      <c r="E68" s="99"/>
    </row>
    <row r="69" spans="1:5" x14ac:dyDescent="0.25">
      <c r="A69" s="83" t="s">
        <v>144</v>
      </c>
      <c r="B69" s="97"/>
      <c r="C69" s="98"/>
      <c r="D69" s="98"/>
      <c r="E69" s="99"/>
    </row>
    <row r="70" spans="1:5" x14ac:dyDescent="0.25">
      <c r="A70" t="s">
        <v>137</v>
      </c>
      <c r="B70" s="25"/>
      <c r="E70" s="87" t="e">
        <f ca="1">SUMIF(INDIRECT("TabelaSaidas[Ufp]"),"SP",INDIRECT("TabelaSaidas[ICMSST]"))</f>
        <v>#REF!</v>
      </c>
    </row>
    <row r="71" spans="1:5" x14ac:dyDescent="0.25">
      <c r="A71" t="s">
        <v>138</v>
      </c>
      <c r="B71" s="25"/>
      <c r="E71" s="87"/>
    </row>
    <row r="72" spans="1:5" x14ac:dyDescent="0.25">
      <c r="A72" t="s">
        <v>139</v>
      </c>
      <c r="B72" s="25"/>
      <c r="E72" s="87"/>
    </row>
    <row r="73" spans="1:5" x14ac:dyDescent="0.25">
      <c r="A73" t="s">
        <v>140</v>
      </c>
      <c r="B73" s="25"/>
      <c r="E73" s="87" t="e">
        <f ca="1">SUMIFS(INDIRECT("TabelaEntradas[ICMS-ST]"),INDIRECT("TabelaEntradas[CFOP]"),2411,INDIRECT("TabelaEntradas[UF]"),"SP")*-1</f>
        <v>#REF!</v>
      </c>
    </row>
    <row r="74" spans="1:5" x14ac:dyDescent="0.25">
      <c r="A74" t="s">
        <v>141</v>
      </c>
      <c r="B74" s="25"/>
      <c r="E74" s="87"/>
    </row>
    <row r="75" spans="1:5" ht="15.75" thickBot="1" x14ac:dyDescent="0.3">
      <c r="A75" s="89" t="s">
        <v>142</v>
      </c>
      <c r="B75" s="90"/>
      <c r="C75" s="89"/>
      <c r="D75" s="89"/>
      <c r="E75" s="91"/>
    </row>
    <row r="76" spans="1:5" ht="15.75" thickTop="1" x14ac:dyDescent="0.25">
      <c r="A76" s="36" t="s">
        <v>143</v>
      </c>
      <c r="B76" s="100"/>
      <c r="C76" s="98"/>
      <c r="D76" s="98"/>
      <c r="E76" s="96" t="e">
        <f ca="1">E70+E71+E72+E73+E74+E75</f>
        <v>#REF!</v>
      </c>
    </row>
  </sheetData>
  <mergeCells count="2">
    <mergeCell ref="A1:I1"/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Mapa_RET</vt:lpstr>
      <vt:lpstr>Entradas_AC</vt:lpstr>
      <vt:lpstr>Apuração_ICMS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Barbosa</dc:creator>
  <cp:lastModifiedBy>Mariana Barbosa</cp:lastModifiedBy>
  <dcterms:created xsi:type="dcterms:W3CDTF">2026-01-12T19:04:06Z</dcterms:created>
  <dcterms:modified xsi:type="dcterms:W3CDTF">2026-01-13T15:37:41Z</dcterms:modified>
</cp:coreProperties>
</file>